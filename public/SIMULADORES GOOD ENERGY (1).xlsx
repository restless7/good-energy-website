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MBA\GOOD ENERGY INVESTMENTS SAS\"/>
    </mc:Choice>
  </mc:AlternateContent>
  <xr:revisionPtr revIDLastSave="0" documentId="13_ncr:1_{4F6B6BDD-07E5-466B-95B4-78925F833A76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GOOD ENERGY - TASA FIJA" sheetId="1" r:id="rId1"/>
    <sheet name="GOOD ENERGY - 100 &lt; FARMERS" sheetId="2" r:id="rId2"/>
    <sheet name="GOOD ENERGY - SOLO GRANJA" sheetId="3" r:id="rId3"/>
    <sheet name="GOOD ENERGY - ELECTROLINERA" sheetId="5" r:id="rId4"/>
    <sheet name="GOOD ENERGY - EQUIPO COMERCIAL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6QnRKpviqKs0llgHxpS6WOZDETuE5o1/46mVKmsCUrI="/>
    </ext>
  </extLst>
</workbook>
</file>

<file path=xl/calcChain.xml><?xml version="1.0" encoding="utf-8"?>
<calcChain xmlns="http://schemas.openxmlformats.org/spreadsheetml/2006/main">
  <c r="D24" i="5" l="1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H27" i="5"/>
  <c r="J27" i="5"/>
  <c r="D28" i="5"/>
  <c r="D26" i="5" s="1"/>
  <c r="F28" i="5"/>
  <c r="F30" i="5" s="1"/>
  <c r="G28" i="5"/>
  <c r="G30" i="5" s="1"/>
  <c r="C23" i="3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C23" i="5"/>
  <c r="C22" i="5"/>
  <c r="D22" i="5" s="1"/>
  <c r="E22" i="5" s="1"/>
  <c r="F22" i="5" s="1"/>
  <c r="G22" i="5" s="1"/>
  <c r="H22" i="5" s="1"/>
  <c r="I22" i="5" s="1"/>
  <c r="J22" i="5" s="1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W28" i="5" s="1"/>
  <c r="C21" i="5"/>
  <c r="D21" i="5" s="1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W27" i="5" s="1"/>
  <c r="C14" i="3"/>
  <c r="C16" i="3"/>
  <c r="C13" i="3"/>
  <c r="C39" i="5"/>
  <c r="C41" i="5" s="1"/>
  <c r="C50" i="5"/>
  <c r="C52" i="5" s="1"/>
  <c r="D50" i="5"/>
  <c r="E50" i="5"/>
  <c r="F50" i="5"/>
  <c r="G50" i="5"/>
  <c r="H50" i="5"/>
  <c r="I50" i="5"/>
  <c r="J50" i="5"/>
  <c r="K50" i="5"/>
  <c r="L50" i="5"/>
  <c r="M50" i="5"/>
  <c r="N50" i="5"/>
  <c r="D39" i="5"/>
  <c r="E39" i="5"/>
  <c r="F39" i="5"/>
  <c r="G39" i="5"/>
  <c r="H39" i="5"/>
  <c r="I39" i="5"/>
  <c r="J39" i="5"/>
  <c r="K39" i="5"/>
  <c r="L39" i="5"/>
  <c r="M39" i="5"/>
  <c r="N39" i="5"/>
  <c r="B13" i="2"/>
  <c r="C97" i="5"/>
  <c r="B97" i="5"/>
  <c r="D51" i="5"/>
  <c r="E51" i="5" s="1"/>
  <c r="O49" i="5"/>
  <c r="D40" i="5"/>
  <c r="E40" i="5" s="1"/>
  <c r="F40" i="5" s="1"/>
  <c r="O38" i="5"/>
  <c r="D31" i="5"/>
  <c r="E31" i="5" s="1"/>
  <c r="F31" i="5" s="1"/>
  <c r="G31" i="5" s="1"/>
  <c r="H31" i="5" s="1"/>
  <c r="I31" i="5" s="1"/>
  <c r="J31" i="5" s="1"/>
  <c r="K31" i="5" s="1"/>
  <c r="L31" i="5" s="1"/>
  <c r="M31" i="5" s="1"/>
  <c r="N31" i="5" s="1"/>
  <c r="O31" i="5" s="1"/>
  <c r="P31" i="5" s="1"/>
  <c r="Q31" i="5" s="1"/>
  <c r="R31" i="5" s="1"/>
  <c r="S31" i="5" s="1"/>
  <c r="T31" i="5" s="1"/>
  <c r="U31" i="5" s="1"/>
  <c r="V31" i="5" s="1"/>
  <c r="W31" i="5" s="1"/>
  <c r="C8" i="5"/>
  <c r="C9" i="5" s="1"/>
  <c r="C10" i="5" s="1"/>
  <c r="C24" i="3"/>
  <c r="C22" i="3" s="1"/>
  <c r="C21" i="3"/>
  <c r="C35" i="3"/>
  <c r="C38" i="3" s="1"/>
  <c r="G6" i="4"/>
  <c r="F6" i="4"/>
  <c r="C51" i="3"/>
  <c r="C54" i="3" s="1"/>
  <c r="C22" i="4"/>
  <c r="C16" i="4"/>
  <c r="C15" i="4"/>
  <c r="J13" i="4"/>
  <c r="J7" i="4"/>
  <c r="C102" i="3"/>
  <c r="B102" i="3"/>
  <c r="D53" i="3"/>
  <c r="E53" i="3" s="1"/>
  <c r="F53" i="3" s="1"/>
  <c r="G53" i="3" s="1"/>
  <c r="H53" i="3" s="1"/>
  <c r="I53" i="3" s="1"/>
  <c r="J53" i="3" s="1"/>
  <c r="K53" i="3" s="1"/>
  <c r="L53" i="3" s="1"/>
  <c r="M53" i="3" s="1"/>
  <c r="N53" i="3" s="1"/>
  <c r="C52" i="3"/>
  <c r="C55" i="3" s="1"/>
  <c r="D63" i="3" s="1"/>
  <c r="N42" i="3"/>
  <c r="M42" i="3"/>
  <c r="L42" i="3"/>
  <c r="K42" i="3"/>
  <c r="J42" i="3"/>
  <c r="I42" i="3"/>
  <c r="H42" i="3"/>
  <c r="G42" i="3"/>
  <c r="F42" i="3"/>
  <c r="E42" i="3"/>
  <c r="D42" i="3"/>
  <c r="D37" i="3"/>
  <c r="E37" i="3" s="1"/>
  <c r="F37" i="3" s="1"/>
  <c r="G37" i="3" s="1"/>
  <c r="H37" i="3" s="1"/>
  <c r="N36" i="3"/>
  <c r="M36" i="3"/>
  <c r="L36" i="3"/>
  <c r="K36" i="3"/>
  <c r="J36" i="3"/>
  <c r="I36" i="3"/>
  <c r="H36" i="3"/>
  <c r="G36" i="3"/>
  <c r="F36" i="3"/>
  <c r="E36" i="3"/>
  <c r="D36" i="3"/>
  <c r="C36" i="3"/>
  <c r="C39" i="3" s="1"/>
  <c r="C63" i="3" s="1"/>
  <c r="N35" i="3"/>
  <c r="M35" i="3"/>
  <c r="L35" i="3"/>
  <c r="K35" i="3"/>
  <c r="J35" i="3"/>
  <c r="I35" i="3"/>
  <c r="H35" i="3"/>
  <c r="G35" i="3"/>
  <c r="F35" i="3"/>
  <c r="E35" i="3"/>
  <c r="D35" i="3"/>
  <c r="O34" i="3"/>
  <c r="D25" i="3"/>
  <c r="E25" i="3" s="1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C8" i="3"/>
  <c r="B53" i="2"/>
  <c r="B55" i="2" s="1"/>
  <c r="B52" i="2"/>
  <c r="C52" i="2" s="1"/>
  <c r="D52" i="2" s="1"/>
  <c r="E52" i="2" s="1"/>
  <c r="F52" i="2" s="1"/>
  <c r="G52" i="2" s="1"/>
  <c r="H52" i="2" s="1"/>
  <c r="B48" i="2"/>
  <c r="C48" i="2" s="1"/>
  <c r="H43" i="2"/>
  <c r="G43" i="2"/>
  <c r="F43" i="2"/>
  <c r="E43" i="2"/>
  <c r="D43" i="2"/>
  <c r="C43" i="2"/>
  <c r="B36" i="2"/>
  <c r="C35" i="2"/>
  <c r="D35" i="2" s="1"/>
  <c r="E35" i="2" s="1"/>
  <c r="F35" i="2" s="1"/>
  <c r="G35" i="2" s="1"/>
  <c r="H35" i="2" s="1"/>
  <c r="B35" i="2"/>
  <c r="B19" i="2"/>
  <c r="F7" i="2"/>
  <c r="B7" i="2"/>
  <c r="B4" i="2"/>
  <c r="B39" i="1"/>
  <c r="H34" i="1"/>
  <c r="G34" i="1"/>
  <c r="F34" i="1"/>
  <c r="E34" i="1"/>
  <c r="D34" i="1"/>
  <c r="C34" i="1"/>
  <c r="B34" i="1"/>
  <c r="B27" i="1"/>
  <c r="C26" i="1"/>
  <c r="D26" i="1" s="1"/>
  <c r="E26" i="1" s="1"/>
  <c r="F26" i="1" s="1"/>
  <c r="G26" i="1" s="1"/>
  <c r="H26" i="1" s="1"/>
  <c r="B26" i="1"/>
  <c r="H21" i="1"/>
  <c r="H22" i="1" s="1"/>
  <c r="F21" i="1"/>
  <c r="F22" i="1" s="1"/>
  <c r="D21" i="1"/>
  <c r="D22" i="1" s="1"/>
  <c r="B21" i="1"/>
  <c r="B22" i="1" s="1"/>
  <c r="B28" i="1" s="1"/>
  <c r="H18" i="1"/>
  <c r="H20" i="1" s="1"/>
  <c r="F18" i="1"/>
  <c r="F20" i="1" s="1"/>
  <c r="D18" i="1"/>
  <c r="D20" i="1" s="1"/>
  <c r="B18" i="1"/>
  <c r="H17" i="1"/>
  <c r="F17" i="1"/>
  <c r="D17" i="1"/>
  <c r="B17" i="1"/>
  <c r="B11" i="1"/>
  <c r="B4" i="1"/>
  <c r="W30" i="5" l="1"/>
  <c r="W26" i="5"/>
  <c r="W29" i="5" s="1"/>
  <c r="W32" i="5" s="1"/>
  <c r="W33" i="5" s="1"/>
  <c r="G26" i="5"/>
  <c r="G29" i="5" s="1"/>
  <c r="G32" i="5" s="1"/>
  <c r="G33" i="5" s="1"/>
  <c r="F26" i="5"/>
  <c r="F29" i="5" s="1"/>
  <c r="F32" i="5" s="1"/>
  <c r="F33" i="5" s="1"/>
  <c r="L28" i="5"/>
  <c r="V28" i="5"/>
  <c r="S27" i="5"/>
  <c r="T28" i="5"/>
  <c r="R27" i="5"/>
  <c r="O28" i="5"/>
  <c r="P27" i="5"/>
  <c r="N28" i="5"/>
  <c r="K27" i="5"/>
  <c r="U28" i="5"/>
  <c r="M28" i="5"/>
  <c r="E28" i="5"/>
  <c r="Q27" i="5"/>
  <c r="I27" i="5"/>
  <c r="S28" i="5"/>
  <c r="K28" i="5"/>
  <c r="O27" i="5"/>
  <c r="G27" i="5"/>
  <c r="R28" i="5"/>
  <c r="J28" i="5"/>
  <c r="V27" i="5"/>
  <c r="N27" i="5"/>
  <c r="F27" i="5"/>
  <c r="C27" i="5"/>
  <c r="C25" i="5" s="1"/>
  <c r="Q28" i="5"/>
  <c r="I28" i="5"/>
  <c r="U27" i="5"/>
  <c r="M27" i="5"/>
  <c r="E27" i="5"/>
  <c r="C28" i="5"/>
  <c r="P28" i="5"/>
  <c r="H28" i="5"/>
  <c r="T27" i="5"/>
  <c r="L27" i="5"/>
  <c r="D27" i="5"/>
  <c r="D25" i="5" s="1"/>
  <c r="D29" i="5" s="1"/>
  <c r="D32" i="5" s="1"/>
  <c r="D33" i="5" s="1"/>
  <c r="D52" i="5"/>
  <c r="D53" i="5" s="1"/>
  <c r="E41" i="5"/>
  <c r="E42" i="5" s="1"/>
  <c r="D41" i="5"/>
  <c r="C59" i="5" s="1"/>
  <c r="E52" i="5"/>
  <c r="E53" i="5" s="1"/>
  <c r="F41" i="5"/>
  <c r="C61" i="5" s="1"/>
  <c r="C58" i="5"/>
  <c r="C42" i="5"/>
  <c r="C53" i="5"/>
  <c r="D58" i="5"/>
  <c r="F51" i="5"/>
  <c r="G51" i="5" s="1"/>
  <c r="G40" i="5"/>
  <c r="D22" i="3"/>
  <c r="C27" i="3"/>
  <c r="C29" i="3" s="1"/>
  <c r="C15" i="3" s="1"/>
  <c r="D27" i="3"/>
  <c r="D29" i="3" s="1"/>
  <c r="D21" i="3"/>
  <c r="C26" i="3"/>
  <c r="C28" i="3" s="1"/>
  <c r="D38" i="3"/>
  <c r="D40" i="3" s="1"/>
  <c r="D39" i="3"/>
  <c r="C64" i="3" s="1"/>
  <c r="E38" i="3"/>
  <c r="E40" i="3" s="1"/>
  <c r="I37" i="3"/>
  <c r="J37" i="3" s="1"/>
  <c r="J39" i="3" s="1"/>
  <c r="H39" i="3"/>
  <c r="E39" i="3"/>
  <c r="C65" i="3" s="1"/>
  <c r="F39" i="3"/>
  <c r="F38" i="3"/>
  <c r="F40" i="3" s="1"/>
  <c r="G38" i="3"/>
  <c r="G40" i="3" s="1"/>
  <c r="E63" i="3"/>
  <c r="D51" i="3"/>
  <c r="D54" i="3" s="1"/>
  <c r="D56" i="3" s="1"/>
  <c r="C28" i="1"/>
  <c r="D28" i="1" s="1"/>
  <c r="E28" i="1" s="1"/>
  <c r="F28" i="1" s="1"/>
  <c r="G28" i="1" s="1"/>
  <c r="H28" i="1" s="1"/>
  <c r="B29" i="1"/>
  <c r="B32" i="1" s="1"/>
  <c r="B35" i="1" s="1"/>
  <c r="C50" i="2"/>
  <c r="D48" i="2"/>
  <c r="C53" i="2"/>
  <c r="C55" i="2" s="1"/>
  <c r="C9" i="3"/>
  <c r="C10" i="3" s="1"/>
  <c r="C40" i="3"/>
  <c r="D25" i="2"/>
  <c r="D26" i="2" s="1"/>
  <c r="B25" i="2"/>
  <c r="B26" i="2" s="1"/>
  <c r="C36" i="2"/>
  <c r="B43" i="2"/>
  <c r="B49" i="2"/>
  <c r="B31" i="1"/>
  <c r="C27" i="1"/>
  <c r="C56" i="3"/>
  <c r="B20" i="1"/>
  <c r="B40" i="1"/>
  <c r="B42" i="1" s="1"/>
  <c r="B40" i="2"/>
  <c r="B37" i="2"/>
  <c r="B38" i="2" s="1"/>
  <c r="B41" i="2" s="1"/>
  <c r="B44" i="2" s="1"/>
  <c r="C57" i="3"/>
  <c r="F25" i="2"/>
  <c r="F26" i="2" s="1"/>
  <c r="C24" i="4"/>
  <c r="C20" i="4"/>
  <c r="C19" i="4" s="1"/>
  <c r="C21" i="4"/>
  <c r="C23" i="4" s="1"/>
  <c r="C39" i="1"/>
  <c r="F8" i="2"/>
  <c r="F9" i="2" s="1"/>
  <c r="F10" i="2" s="1"/>
  <c r="H25" i="2"/>
  <c r="H26" i="2" s="1"/>
  <c r="B50" i="2"/>
  <c r="C17" i="4"/>
  <c r="J5" i="4"/>
  <c r="J8" i="4" s="1"/>
  <c r="J10" i="4" s="1"/>
  <c r="C12" i="3"/>
  <c r="C11" i="3" s="1"/>
  <c r="C41" i="3"/>
  <c r="H38" i="3"/>
  <c r="H40" i="3" s="1"/>
  <c r="G39" i="3"/>
  <c r="D52" i="3"/>
  <c r="D55" i="3" s="1"/>
  <c r="D30" i="5" l="1"/>
  <c r="R30" i="5"/>
  <c r="R26" i="5"/>
  <c r="R29" i="5" s="1"/>
  <c r="R32" i="5" s="1"/>
  <c r="R33" i="5" s="1"/>
  <c r="M30" i="5"/>
  <c r="M26" i="5"/>
  <c r="M29" i="5" s="1"/>
  <c r="M32" i="5" s="1"/>
  <c r="M33" i="5" s="1"/>
  <c r="J26" i="5"/>
  <c r="J29" i="5" s="1"/>
  <c r="J32" i="5" s="1"/>
  <c r="J33" i="5" s="1"/>
  <c r="J30" i="5"/>
  <c r="K30" i="5"/>
  <c r="K26" i="5"/>
  <c r="K29" i="5" s="1"/>
  <c r="K32" i="5" s="1"/>
  <c r="K33" i="5" s="1"/>
  <c r="N30" i="5"/>
  <c r="N26" i="5"/>
  <c r="N29" i="5" s="1"/>
  <c r="N32" i="5" s="1"/>
  <c r="N33" i="5" s="1"/>
  <c r="T26" i="5"/>
  <c r="T29" i="5" s="1"/>
  <c r="T32" i="5" s="1"/>
  <c r="T33" i="5" s="1"/>
  <c r="T30" i="5"/>
  <c r="U30" i="5"/>
  <c r="U26" i="5"/>
  <c r="U29" i="5" s="1"/>
  <c r="U32" i="5" s="1"/>
  <c r="U33" i="5" s="1"/>
  <c r="L26" i="5"/>
  <c r="L29" i="5" s="1"/>
  <c r="L32" i="5" s="1"/>
  <c r="L33" i="5" s="1"/>
  <c r="L30" i="5"/>
  <c r="P30" i="5"/>
  <c r="P26" i="5"/>
  <c r="P29" i="5" s="1"/>
  <c r="P32" i="5" s="1"/>
  <c r="P33" i="5" s="1"/>
  <c r="S26" i="5"/>
  <c r="S29" i="5" s="1"/>
  <c r="S32" i="5" s="1"/>
  <c r="S33" i="5" s="1"/>
  <c r="S30" i="5"/>
  <c r="E30" i="5"/>
  <c r="E26" i="5"/>
  <c r="E29" i="5" s="1"/>
  <c r="E32" i="5" s="1"/>
  <c r="E33" i="5" s="1"/>
  <c r="I30" i="5"/>
  <c r="I26" i="5"/>
  <c r="I29" i="5" s="1"/>
  <c r="I32" i="5" s="1"/>
  <c r="I33" i="5" s="1"/>
  <c r="V30" i="5"/>
  <c r="V26" i="5"/>
  <c r="V29" i="5" s="1"/>
  <c r="V32" i="5" s="1"/>
  <c r="V33" i="5" s="1"/>
  <c r="Q30" i="5"/>
  <c r="Q26" i="5"/>
  <c r="Q29" i="5" s="1"/>
  <c r="Q32" i="5" s="1"/>
  <c r="Q33" i="5" s="1"/>
  <c r="H30" i="5"/>
  <c r="H26" i="5"/>
  <c r="H29" i="5" s="1"/>
  <c r="H32" i="5" s="1"/>
  <c r="H33" i="5" s="1"/>
  <c r="O30" i="5"/>
  <c r="O26" i="5"/>
  <c r="O29" i="5" s="1"/>
  <c r="O32" i="5" s="1"/>
  <c r="O33" i="5" s="1"/>
  <c r="C30" i="5"/>
  <c r="C26" i="5"/>
  <c r="C29" i="5" s="1"/>
  <c r="C32" i="5" s="1"/>
  <c r="C33" i="5" s="1"/>
  <c r="C14" i="5" s="1"/>
  <c r="D59" i="5"/>
  <c r="D42" i="5"/>
  <c r="C60" i="5"/>
  <c r="F42" i="5"/>
  <c r="F52" i="5"/>
  <c r="F53" i="5" s="1"/>
  <c r="H40" i="5"/>
  <c r="G41" i="5"/>
  <c r="H51" i="5"/>
  <c r="H52" i="5" s="1"/>
  <c r="H53" i="5" s="1"/>
  <c r="G52" i="5"/>
  <c r="E59" i="5"/>
  <c r="D60" i="5"/>
  <c r="E60" i="5" s="1"/>
  <c r="E58" i="5"/>
  <c r="D24" i="3"/>
  <c r="E22" i="3"/>
  <c r="E21" i="3"/>
  <c r="D23" i="3"/>
  <c r="I38" i="3"/>
  <c r="I40" i="3" s="1"/>
  <c r="D41" i="3"/>
  <c r="J38" i="3"/>
  <c r="J40" i="3" s="1"/>
  <c r="I39" i="3"/>
  <c r="C69" i="3" s="1"/>
  <c r="K37" i="3"/>
  <c r="L37" i="3" s="1"/>
  <c r="E41" i="3"/>
  <c r="J41" i="3"/>
  <c r="C70" i="3"/>
  <c r="G41" i="3"/>
  <c r="C67" i="3"/>
  <c r="F41" i="3"/>
  <c r="C66" i="3"/>
  <c r="H41" i="3"/>
  <c r="C68" i="3"/>
  <c r="D57" i="3"/>
  <c r="D64" i="3"/>
  <c r="E64" i="3" s="1"/>
  <c r="J20" i="4"/>
  <c r="J22" i="4"/>
  <c r="J14" i="4"/>
  <c r="J16" i="4"/>
  <c r="J25" i="4"/>
  <c r="J24" i="4"/>
  <c r="J15" i="4"/>
  <c r="J23" i="4"/>
  <c r="J17" i="4"/>
  <c r="J21" i="4"/>
  <c r="J19" i="4"/>
  <c r="J18" i="4"/>
  <c r="D39" i="1"/>
  <c r="B51" i="2"/>
  <c r="B54" i="2"/>
  <c r="C49" i="2"/>
  <c r="E51" i="3"/>
  <c r="E54" i="3" s="1"/>
  <c r="E52" i="3"/>
  <c r="E55" i="3" s="1"/>
  <c r="D65" i="3" s="1"/>
  <c r="E65" i="3" s="1"/>
  <c r="G7" i="4"/>
  <c r="D27" i="1"/>
  <c r="C31" i="1"/>
  <c r="C29" i="1"/>
  <c r="C32" i="1" s="1"/>
  <c r="C35" i="1" s="1"/>
  <c r="D26" i="3"/>
  <c r="D28" i="3" s="1"/>
  <c r="B17" i="2"/>
  <c r="B20" i="2" s="1"/>
  <c r="D53" i="2"/>
  <c r="D55" i="2" s="1"/>
  <c r="E48" i="2"/>
  <c r="D50" i="2"/>
  <c r="C40" i="2"/>
  <c r="C37" i="2"/>
  <c r="C38" i="2" s="1"/>
  <c r="C41" i="2" s="1"/>
  <c r="C44" i="2" s="1"/>
  <c r="D36" i="2"/>
  <c r="B41" i="1"/>
  <c r="B43" i="1" s="1"/>
  <c r="C40" i="1"/>
  <c r="C12" i="5" l="1"/>
  <c r="C11" i="5" s="1"/>
  <c r="C16" i="5"/>
  <c r="C13" i="5"/>
  <c r="C15" i="5" s="1"/>
  <c r="I51" i="5"/>
  <c r="I52" i="5" s="1"/>
  <c r="I53" i="5" s="1"/>
  <c r="G53" i="5"/>
  <c r="G42" i="5"/>
  <c r="I40" i="5"/>
  <c r="H41" i="5"/>
  <c r="H42" i="5" s="1"/>
  <c r="D61" i="5"/>
  <c r="E61" i="5" s="1"/>
  <c r="D62" i="5"/>
  <c r="C62" i="5"/>
  <c r="D63" i="5"/>
  <c r="E24" i="3"/>
  <c r="F22" i="3"/>
  <c r="E27" i="3"/>
  <c r="E29" i="3" s="1"/>
  <c r="I41" i="3"/>
  <c r="F21" i="3"/>
  <c r="E23" i="3"/>
  <c r="K39" i="3"/>
  <c r="C71" i="3" s="1"/>
  <c r="K38" i="3"/>
  <c r="K40" i="3" s="1"/>
  <c r="E57" i="3"/>
  <c r="F51" i="3"/>
  <c r="F54" i="3" s="1"/>
  <c r="F56" i="3" s="1"/>
  <c r="F52" i="3"/>
  <c r="F55" i="3" s="1"/>
  <c r="E50" i="2"/>
  <c r="E53" i="2"/>
  <c r="E55" i="2" s="1"/>
  <c r="F48" i="2"/>
  <c r="E56" i="3"/>
  <c r="E39" i="1"/>
  <c r="C41" i="1"/>
  <c r="C43" i="1" s="1"/>
  <c r="D40" i="1"/>
  <c r="D42" i="1" s="1"/>
  <c r="D31" i="1"/>
  <c r="D29" i="1"/>
  <c r="D32" i="1" s="1"/>
  <c r="D35" i="1" s="1"/>
  <c r="E27" i="1"/>
  <c r="C42" i="1"/>
  <c r="F7" i="4"/>
  <c r="G8" i="4"/>
  <c r="E26" i="3"/>
  <c r="E28" i="3" s="1"/>
  <c r="M37" i="3"/>
  <c r="L38" i="3"/>
  <c r="L39" i="3"/>
  <c r="J26" i="4"/>
  <c r="D37" i="2"/>
  <c r="D38" i="2" s="1"/>
  <c r="D41" i="2" s="1"/>
  <c r="D44" i="2" s="1"/>
  <c r="D40" i="2"/>
  <c r="E36" i="2"/>
  <c r="C51" i="2"/>
  <c r="C54" i="2"/>
  <c r="C56" i="2" s="1"/>
  <c r="D49" i="2"/>
  <c r="D29" i="2"/>
  <c r="F13" i="2"/>
  <c r="F15" i="2" s="1"/>
  <c r="F29" i="2"/>
  <c r="H29" i="2"/>
  <c r="B29" i="2"/>
  <c r="B56" i="2"/>
  <c r="J51" i="5" l="1"/>
  <c r="J52" i="5" s="1"/>
  <c r="J53" i="5" s="1"/>
  <c r="C63" i="5"/>
  <c r="E63" i="5" s="1"/>
  <c r="I41" i="5"/>
  <c r="J40" i="5"/>
  <c r="E62" i="5"/>
  <c r="D64" i="5"/>
  <c r="F24" i="3"/>
  <c r="G22" i="3"/>
  <c r="F27" i="3"/>
  <c r="F29" i="3" s="1"/>
  <c r="K41" i="3"/>
  <c r="G21" i="3"/>
  <c r="F23" i="3"/>
  <c r="L41" i="3"/>
  <c r="C72" i="3"/>
  <c r="F57" i="3"/>
  <c r="D66" i="3"/>
  <c r="E66" i="3" s="1"/>
  <c r="G48" i="2"/>
  <c r="F53" i="2"/>
  <c r="F55" i="2" s="1"/>
  <c r="F50" i="2"/>
  <c r="L40" i="3"/>
  <c r="D54" i="2"/>
  <c r="D56" i="2" s="1"/>
  <c r="E49" i="2"/>
  <c r="D51" i="2"/>
  <c r="F8" i="4"/>
  <c r="G9" i="4"/>
  <c r="H28" i="2"/>
  <c r="H27" i="2" s="1"/>
  <c r="B30" i="2"/>
  <c r="B31" i="2" s="1"/>
  <c r="D30" i="2"/>
  <c r="D31" i="2" s="1"/>
  <c r="F28" i="2"/>
  <c r="F27" i="2" s="1"/>
  <c r="D28" i="2"/>
  <c r="D27" i="2" s="1"/>
  <c r="B28" i="2"/>
  <c r="B27" i="2" s="1"/>
  <c r="H30" i="2"/>
  <c r="H31" i="2" s="1"/>
  <c r="F14" i="2"/>
  <c r="F30" i="2"/>
  <c r="F31" i="2" s="1"/>
  <c r="E37" i="2"/>
  <c r="E38" i="2" s="1"/>
  <c r="E41" i="2" s="1"/>
  <c r="E44" i="2" s="1"/>
  <c r="E40" i="2"/>
  <c r="F36" i="2"/>
  <c r="F39" i="1"/>
  <c r="D41" i="1"/>
  <c r="D43" i="1" s="1"/>
  <c r="E40" i="1"/>
  <c r="E42" i="1" s="1"/>
  <c r="N37" i="3"/>
  <c r="M38" i="3"/>
  <c r="M40" i="3" s="1"/>
  <c r="M39" i="3"/>
  <c r="F26" i="3"/>
  <c r="F28" i="3" s="1"/>
  <c r="E29" i="1"/>
  <c r="E32" i="1" s="1"/>
  <c r="E35" i="1" s="1"/>
  <c r="E31" i="1"/>
  <c r="F27" i="1"/>
  <c r="G51" i="3"/>
  <c r="G54" i="3" s="1"/>
  <c r="G56" i="3" s="1"/>
  <c r="G52" i="3"/>
  <c r="G55" i="3" s="1"/>
  <c r="D67" i="3" s="1"/>
  <c r="E67" i="3" s="1"/>
  <c r="K51" i="5" l="1"/>
  <c r="K52" i="5" s="1"/>
  <c r="I42" i="5"/>
  <c r="C64" i="5"/>
  <c r="E64" i="5" s="1"/>
  <c r="J41" i="5"/>
  <c r="K40" i="5"/>
  <c r="K53" i="5"/>
  <c r="D65" i="5"/>
  <c r="L51" i="5"/>
  <c r="L52" i="5" s="1"/>
  <c r="L53" i="5" s="1"/>
  <c r="G24" i="3"/>
  <c r="H22" i="3"/>
  <c r="G27" i="3"/>
  <c r="G29" i="3" s="1"/>
  <c r="H21" i="3"/>
  <c r="G23" i="3"/>
  <c r="M41" i="3"/>
  <c r="C73" i="3"/>
  <c r="G26" i="3"/>
  <c r="G28" i="3" s="1"/>
  <c r="G57" i="3"/>
  <c r="G27" i="1"/>
  <c r="F29" i="1"/>
  <c r="F31" i="1"/>
  <c r="E54" i="2"/>
  <c r="E56" i="2" s="1"/>
  <c r="E51" i="2"/>
  <c r="F49" i="2"/>
  <c r="H51" i="3"/>
  <c r="H54" i="3" s="1"/>
  <c r="H52" i="3"/>
  <c r="H55" i="3" s="1"/>
  <c r="F37" i="2"/>
  <c r="F38" i="2" s="1"/>
  <c r="F41" i="2" s="1"/>
  <c r="F44" i="2" s="1"/>
  <c r="F40" i="2"/>
  <c r="G36" i="2"/>
  <c r="F12" i="2"/>
  <c r="F11" i="2" s="1"/>
  <c r="F16" i="2"/>
  <c r="F9" i="4"/>
  <c r="G10" i="4"/>
  <c r="N39" i="3"/>
  <c r="N38" i="3"/>
  <c r="N40" i="3" s="1"/>
  <c r="G39" i="1"/>
  <c r="F40" i="1"/>
  <c r="E41" i="1"/>
  <c r="E43" i="1" s="1"/>
  <c r="H48" i="2"/>
  <c r="G53" i="2"/>
  <c r="G55" i="2" s="1"/>
  <c r="G50" i="2"/>
  <c r="K41" i="5" l="1"/>
  <c r="L40" i="5"/>
  <c r="J42" i="5"/>
  <c r="C65" i="5"/>
  <c r="E65" i="5" s="1"/>
  <c r="D66" i="5"/>
  <c r="M51" i="5"/>
  <c r="M52" i="5" s="1"/>
  <c r="H24" i="3"/>
  <c r="I22" i="3"/>
  <c r="H27" i="3"/>
  <c r="H29" i="3" s="1"/>
  <c r="I21" i="3"/>
  <c r="H23" i="3"/>
  <c r="N41" i="3"/>
  <c r="C74" i="3"/>
  <c r="H57" i="3"/>
  <c r="D68" i="3"/>
  <c r="E68" i="3" s="1"/>
  <c r="G40" i="1"/>
  <c r="G42" i="1" s="1"/>
  <c r="F41" i="1"/>
  <c r="F43" i="1" s="1"/>
  <c r="F32" i="1"/>
  <c r="F35" i="1" s="1"/>
  <c r="H39" i="1"/>
  <c r="I52" i="3"/>
  <c r="I55" i="3" s="1"/>
  <c r="I51" i="3"/>
  <c r="I54" i="3" s="1"/>
  <c r="I56" i="3" s="1"/>
  <c r="G29" i="1"/>
  <c r="G32" i="1" s="1"/>
  <c r="G35" i="1" s="1"/>
  <c r="G31" i="1"/>
  <c r="H27" i="1"/>
  <c r="F42" i="1"/>
  <c r="H36" i="2"/>
  <c r="G38" i="2"/>
  <c r="G40" i="2"/>
  <c r="G37" i="2"/>
  <c r="H56" i="3"/>
  <c r="C43" i="3"/>
  <c r="H53" i="2"/>
  <c r="H55" i="2" s="1"/>
  <c r="H50" i="2"/>
  <c r="G49" i="2"/>
  <c r="F51" i="2"/>
  <c r="F54" i="2"/>
  <c r="F56" i="2" s="1"/>
  <c r="C44" i="3"/>
  <c r="G11" i="4"/>
  <c r="F10" i="4"/>
  <c r="H26" i="3"/>
  <c r="H28" i="3" s="1"/>
  <c r="L41" i="5" l="1"/>
  <c r="M40" i="5"/>
  <c r="K42" i="5"/>
  <c r="C66" i="5"/>
  <c r="E66" i="5" s="1"/>
  <c r="M53" i="5"/>
  <c r="C54" i="5"/>
  <c r="D67" i="5"/>
  <c r="N51" i="5"/>
  <c r="N52" i="5" s="1"/>
  <c r="N53" i="5" s="1"/>
  <c r="I24" i="3"/>
  <c r="J22" i="3"/>
  <c r="I27" i="3"/>
  <c r="I29" i="3" s="1"/>
  <c r="J21" i="3"/>
  <c r="I23" i="3"/>
  <c r="I57" i="3"/>
  <c r="D69" i="3"/>
  <c r="E69" i="3" s="1"/>
  <c r="G41" i="2"/>
  <c r="G44" i="2" s="1"/>
  <c r="H38" i="2"/>
  <c r="H41" i="2" s="1"/>
  <c r="H44" i="2" s="1"/>
  <c r="H40" i="2"/>
  <c r="H37" i="2"/>
  <c r="I26" i="3"/>
  <c r="I28" i="3" s="1"/>
  <c r="G12" i="4"/>
  <c r="F11" i="4"/>
  <c r="H29" i="1"/>
  <c r="H31" i="1"/>
  <c r="H42" i="1"/>
  <c r="H49" i="2"/>
  <c r="G54" i="2"/>
  <c r="G56" i="2" s="1"/>
  <c r="G51" i="2"/>
  <c r="J52" i="3"/>
  <c r="J55" i="3" s="1"/>
  <c r="J51" i="3"/>
  <c r="J54" i="3" s="1"/>
  <c r="J56" i="3" s="1"/>
  <c r="H40" i="1"/>
  <c r="H41" i="1" s="1"/>
  <c r="H43" i="1" s="1"/>
  <c r="G41" i="1"/>
  <c r="G43" i="1" s="1"/>
  <c r="O53" i="5" l="1"/>
  <c r="M41" i="5"/>
  <c r="N40" i="5"/>
  <c r="L42" i="5"/>
  <c r="C67" i="5"/>
  <c r="E67" i="5" s="1"/>
  <c r="D68" i="5"/>
  <c r="K22" i="3"/>
  <c r="J24" i="3"/>
  <c r="J27" i="3"/>
  <c r="J29" i="3" s="1"/>
  <c r="K21" i="3"/>
  <c r="J23" i="3"/>
  <c r="J57" i="3"/>
  <c r="D70" i="3"/>
  <c r="E70" i="3" s="1"/>
  <c r="K52" i="3"/>
  <c r="K55" i="3" s="1"/>
  <c r="K51" i="3"/>
  <c r="K54" i="3" s="1"/>
  <c r="K56" i="3" s="1"/>
  <c r="H32" i="1"/>
  <c r="H35" i="1" s="1"/>
  <c r="H51" i="2"/>
  <c r="H54" i="2"/>
  <c r="H56" i="2" s="1"/>
  <c r="J26" i="3"/>
  <c r="J28" i="3" s="1"/>
  <c r="F12" i="4"/>
  <c r="G13" i="4"/>
  <c r="N41" i="5" l="1"/>
  <c r="M42" i="5"/>
  <c r="C68" i="5"/>
  <c r="E68" i="5" s="1"/>
  <c r="D69" i="5"/>
  <c r="L22" i="3"/>
  <c r="K24" i="3"/>
  <c r="K27" i="3"/>
  <c r="K29" i="3" s="1"/>
  <c r="L21" i="3"/>
  <c r="K23" i="3"/>
  <c r="K57" i="3"/>
  <c r="D71" i="3"/>
  <c r="E71" i="3" s="1"/>
  <c r="G14" i="4"/>
  <c r="F13" i="4"/>
  <c r="K26" i="3"/>
  <c r="K28" i="3" s="1"/>
  <c r="L52" i="3"/>
  <c r="L55" i="3" s="1"/>
  <c r="L51" i="3"/>
  <c r="L54" i="3" s="1"/>
  <c r="L56" i="3" s="1"/>
  <c r="N42" i="5" l="1"/>
  <c r="C43" i="5"/>
  <c r="C69" i="5"/>
  <c r="E69" i="5" s="1"/>
  <c r="L24" i="3"/>
  <c r="M22" i="3"/>
  <c r="L27" i="3"/>
  <c r="L29" i="3" s="1"/>
  <c r="M21" i="3"/>
  <c r="L23" i="3"/>
  <c r="L57" i="3"/>
  <c r="D72" i="3"/>
  <c r="E72" i="3" s="1"/>
  <c r="G15" i="4"/>
  <c r="F14" i="4"/>
  <c r="L26" i="3"/>
  <c r="L28" i="3" s="1"/>
  <c r="M51" i="3"/>
  <c r="M54" i="3" s="1"/>
  <c r="M56" i="3" s="1"/>
  <c r="M52" i="3"/>
  <c r="M55" i="3" s="1"/>
  <c r="M24" i="3" l="1"/>
  <c r="N22" i="3"/>
  <c r="M27" i="3"/>
  <c r="M29" i="3" s="1"/>
  <c r="N21" i="3"/>
  <c r="M23" i="3"/>
  <c r="M57" i="3"/>
  <c r="D73" i="3"/>
  <c r="E73" i="3" s="1"/>
  <c r="M26" i="3"/>
  <c r="M28" i="3" s="1"/>
  <c r="N52" i="3"/>
  <c r="N55" i="3" s="1"/>
  <c r="D74" i="3" s="1"/>
  <c r="E74" i="3" s="1"/>
  <c r="N51" i="3"/>
  <c r="N54" i="3" s="1"/>
  <c r="O50" i="3"/>
  <c r="F15" i="4"/>
  <c r="G16" i="4"/>
  <c r="N24" i="3" l="1"/>
  <c r="O22" i="3"/>
  <c r="N27" i="3"/>
  <c r="N29" i="3" s="1"/>
  <c r="O21" i="3"/>
  <c r="N23" i="3"/>
  <c r="N57" i="3"/>
  <c r="O57" i="3" s="1"/>
  <c r="C59" i="3"/>
  <c r="N56" i="3"/>
  <c r="C58" i="3"/>
  <c r="G17" i="4"/>
  <c r="F16" i="4"/>
  <c r="N26" i="3"/>
  <c r="N28" i="3" s="1"/>
  <c r="O24" i="3" l="1"/>
  <c r="P22" i="3"/>
  <c r="O27" i="3"/>
  <c r="O29" i="3" s="1"/>
  <c r="P21" i="3"/>
  <c r="O23" i="3"/>
  <c r="F17" i="4"/>
  <c r="G18" i="4"/>
  <c r="O26" i="3"/>
  <c r="O28" i="3" s="1"/>
  <c r="P24" i="3" l="1"/>
  <c r="Q22" i="3"/>
  <c r="P27" i="3"/>
  <c r="P29" i="3" s="1"/>
  <c r="Q21" i="3"/>
  <c r="P23" i="3"/>
  <c r="P26" i="3"/>
  <c r="P28" i="3" s="1"/>
  <c r="G19" i="4"/>
  <c r="F18" i="4"/>
  <c r="Q24" i="3" l="1"/>
  <c r="R22" i="3"/>
  <c r="Q27" i="3"/>
  <c r="Q29" i="3" s="1"/>
  <c r="R21" i="3"/>
  <c r="Q23" i="3"/>
  <c r="Q26" i="3"/>
  <c r="Q28" i="3" s="1"/>
  <c r="F19" i="4"/>
  <c r="G20" i="4"/>
  <c r="S22" i="3" l="1"/>
  <c r="R24" i="3"/>
  <c r="R27" i="3"/>
  <c r="R29" i="3" s="1"/>
  <c r="S21" i="3"/>
  <c r="R23" i="3"/>
  <c r="R26" i="3"/>
  <c r="R28" i="3" s="1"/>
  <c r="G21" i="4"/>
  <c r="F20" i="4"/>
  <c r="T22" i="3" l="1"/>
  <c r="S24" i="3"/>
  <c r="S27" i="3"/>
  <c r="S29" i="3" s="1"/>
  <c r="T21" i="3"/>
  <c r="S23" i="3"/>
  <c r="S26" i="3"/>
  <c r="S28" i="3" s="1"/>
  <c r="F21" i="4"/>
  <c r="G22" i="4"/>
  <c r="T24" i="3" l="1"/>
  <c r="U22" i="3"/>
  <c r="T27" i="3"/>
  <c r="T29" i="3" s="1"/>
  <c r="U21" i="3"/>
  <c r="T23" i="3"/>
  <c r="G23" i="4"/>
  <c r="F22" i="4"/>
  <c r="T26" i="3"/>
  <c r="T28" i="3" s="1"/>
  <c r="U24" i="3" l="1"/>
  <c r="V22" i="3"/>
  <c r="U27" i="3"/>
  <c r="U29" i="3" s="1"/>
  <c r="V21" i="3"/>
  <c r="U23" i="3"/>
  <c r="U26" i="3"/>
  <c r="U28" i="3" s="1"/>
  <c r="F23" i="4"/>
  <c r="G24" i="4"/>
  <c r="V24" i="3" l="1"/>
  <c r="W22" i="3"/>
  <c r="V27" i="3"/>
  <c r="V29" i="3" s="1"/>
  <c r="W21" i="3"/>
  <c r="W23" i="3" s="1"/>
  <c r="V23" i="3"/>
  <c r="V26" i="3"/>
  <c r="V28" i="3" s="1"/>
  <c r="G25" i="4"/>
  <c r="F24" i="4"/>
  <c r="W24" i="3" l="1"/>
  <c r="W27" i="3"/>
  <c r="W29" i="3" s="1"/>
  <c r="F25" i="4"/>
  <c r="G26" i="4"/>
  <c r="W26" i="3"/>
  <c r="W28" i="3" s="1"/>
  <c r="F26" i="4" l="1"/>
  <c r="G27" i="4"/>
  <c r="G28" i="4" l="1"/>
  <c r="C25" i="4"/>
</calcChain>
</file>

<file path=xl/sharedStrings.xml><?xml version="1.0" encoding="utf-8"?>
<sst xmlns="http://schemas.openxmlformats.org/spreadsheetml/2006/main" count="476" uniqueCount="169">
  <si>
    <t>XYNERGY FARMS - PROYECTO "ORO MIEL" LEBRIJA SANTANDER</t>
  </si>
  <si>
    <t>UNIDADES DISPONIBLES</t>
  </si>
  <si>
    <t>POTENCIA INSTALADA</t>
  </si>
  <si>
    <t>1MWp</t>
  </si>
  <si>
    <t>PANELES INSTALADOS</t>
  </si>
  <si>
    <t>GENERACION ESPERADA</t>
  </si>
  <si>
    <t>PERDIDA ESTIMADA</t>
  </si>
  <si>
    <t>PRECIO VENGA KW/h</t>
  </si>
  <si>
    <t>ETAPAS DE VENTA</t>
  </si>
  <si>
    <t>RECAUDO ESTIMADO</t>
  </si>
  <si>
    <t>ETAPA 1</t>
  </si>
  <si>
    <t>ETAPA 2</t>
  </si>
  <si>
    <t>ETAPA 3</t>
  </si>
  <si>
    <t>ETAPA 4</t>
  </si>
  <si>
    <t>UNIDADES DISPOMIBLES</t>
  </si>
  <si>
    <t>PRECIO VENTA FARM</t>
  </si>
  <si>
    <t>VENTAS TOTALES PROYECTO</t>
  </si>
  <si>
    <t>RENTABILIDAD ANUAL</t>
  </si>
  <si>
    <t>RENTABILIDAD MENSUAL</t>
  </si>
  <si>
    <t>GANANCIA ANUAL</t>
  </si>
  <si>
    <t>GANANCIA MENSUAL</t>
  </si>
  <si>
    <t>GANANCIA MENSUAL ETAPA</t>
  </si>
  <si>
    <t>PROYECCION 10 MESES</t>
  </si>
  <si>
    <t>MES 1</t>
  </si>
  <si>
    <t>MES 2</t>
  </si>
  <si>
    <t>MES 3</t>
  </si>
  <si>
    <t>MES 4</t>
  </si>
  <si>
    <t>MES 5</t>
  </si>
  <si>
    <t>MES 6</t>
  </si>
  <si>
    <t>MES 7</t>
  </si>
  <si>
    <t>RECAUDO TEORICO</t>
  </si>
  <si>
    <t>RECAUDO CON PERDIDA</t>
  </si>
  <si>
    <t>COSTO INVERSORES</t>
  </si>
  <si>
    <t>UTILIDAD BRUTA</t>
  </si>
  <si>
    <t>GASTOS ADMINISTRATIVOS</t>
  </si>
  <si>
    <t>UTILIDAD OPERACIONAL</t>
  </si>
  <si>
    <t>FONDO DE MANTENIMIENTO</t>
  </si>
  <si>
    <t>UTILIDAD ANTES DE IMP</t>
  </si>
  <si>
    <t>SIMULADOR PARA FARMERS</t>
  </si>
  <si>
    <t>PROYECCION 7 AÑOS</t>
  </si>
  <si>
    <t>AÑO 1</t>
  </si>
  <si>
    <t xml:space="preserve"> </t>
  </si>
  <si>
    <t>AÑO 3</t>
  </si>
  <si>
    <t>AÑO 4</t>
  </si>
  <si>
    <t>AÑO 5</t>
  </si>
  <si>
    <t>AÑO 6</t>
  </si>
  <si>
    <t>AÑO 7</t>
  </si>
  <si>
    <t>MONTO INVERSIÓN</t>
  </si>
  <si>
    <t>GOOD ENERGY FARMS - PROYECTO "ORO MIEL" LEBRIJA SANTANDER</t>
  </si>
  <si>
    <t>VENTA DE UNIDADES</t>
  </si>
  <si>
    <t>PARTICIPACION FARMERS</t>
  </si>
  <si>
    <t>1MW</t>
  </si>
  <si>
    <t>DESCUENTO</t>
  </si>
  <si>
    <t>PRECIO COMERCIAL FARM</t>
  </si>
  <si>
    <t>PRECIO CON DESCUENTO</t>
  </si>
  <si>
    <t>GENERACION TECNICA KWp</t>
  </si>
  <si>
    <t>PRECIO TOTAL PROYECTO</t>
  </si>
  <si>
    <t>DIFERENCIA DE PRECIO</t>
  </si>
  <si>
    <t>PERDIDA ESTIMADA KWp</t>
  </si>
  <si>
    <t>RENTABILIDAD ANUAL %</t>
  </si>
  <si>
    <t>RENTABILIDAD MENSUAL %</t>
  </si>
  <si>
    <t>GANANCIA ANUAL UNIDAD</t>
  </si>
  <si>
    <t>GANANCIA MEN UNIDAD</t>
  </si>
  <si>
    <t>GANANCIA ANUAL INVERSION</t>
  </si>
  <si>
    <t>GANANCIA MEN INVERSION</t>
  </si>
  <si>
    <t>RECAUDO REAL</t>
  </si>
  <si>
    <t>COSTO GRANJA</t>
  </si>
  <si>
    <t>UTILIDAD FARMS</t>
  </si>
  <si>
    <t>GANANCIA ANUAL INVERSOR</t>
  </si>
  <si>
    <t>GANANCIA MEN INVERSOR</t>
  </si>
  <si>
    <t>COSTO MENSUAL ETAPA</t>
  </si>
  <si>
    <t>PROYECCION 7 MESES</t>
  </si>
  <si>
    <t>AÑO 2</t>
  </si>
  <si>
    <t>RECAUDO TEORICO ANUAL</t>
  </si>
  <si>
    <t>RECAUDO ESTIMADO ANUAL</t>
  </si>
  <si>
    <t>RECAUDO TEORICO MES</t>
  </si>
  <si>
    <t>RECAUDO ESTIMADO MES</t>
  </si>
  <si>
    <t>PARTICIPACION FARM</t>
  </si>
  <si>
    <t>GANANCIA T ANUAL</t>
  </si>
  <si>
    <t>GANANCIA E ANUAL</t>
  </si>
  <si>
    <t>GANANCIA T MES</t>
  </si>
  <si>
    <t>GANANCIA E MES</t>
  </si>
  <si>
    <t>AÑO 8</t>
  </si>
  <si>
    <t>AÑO 9</t>
  </si>
  <si>
    <t>AÑO 10</t>
  </si>
  <si>
    <t>AÑO 11</t>
  </si>
  <si>
    <t>AÑO 12</t>
  </si>
  <si>
    <t>AÑO 13</t>
  </si>
  <si>
    <t>AÑO 14</t>
  </si>
  <si>
    <t>AÑO 15</t>
  </si>
  <si>
    <t>AÑO 16</t>
  </si>
  <si>
    <t>AÑO 17</t>
  </si>
  <si>
    <t>AÑO 18</t>
  </si>
  <si>
    <t>AÑO 19</t>
  </si>
  <si>
    <t>AÑO 20</t>
  </si>
  <si>
    <t>AÑO 21</t>
  </si>
  <si>
    <t>SIMULADOR RENTABILIDAD CON PRECIOS HISTORICOS DE LA ENERGIA 2024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</si>
  <si>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</si>
  <si>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</si>
  <si>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</si>
  <si>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</si>
  <si>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</si>
  <si>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</si>
  <si>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</si>
  <si>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</si>
  <si>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</si>
  <si>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</si>
  <si>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</si>
  <si>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</si>
  <si>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</si>
  <si>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PRECIO PAGADO KWh</t>
  </si>
  <si>
    <t>RENTABILIDAD T GENERADA</t>
  </si>
  <si>
    <t>RENTABILIDAD E GENERADA</t>
  </si>
  <si>
    <t>16.67%</t>
  </si>
  <si>
    <t>VARIACIÓN MENSUAL</t>
  </si>
  <si>
    <t>-</t>
  </si>
  <si>
    <t>GANANCIA T ESTIMADA 2024</t>
  </si>
  <si>
    <t>GANANCIA E ESTIMADA 2024</t>
  </si>
  <si>
    <t>GRAFICA DE MOVIMIENTO MENSUAL DE LA RENTABILIDAD SEGUN EL PRECIO DE LA ENERGIA</t>
  </si>
  <si>
    <t>RENTABILIDAD REAL 2024</t>
  </si>
  <si>
    <t>PROYECCION 2025</t>
  </si>
  <si>
    <t>VARIACION ENTRE AÑOS</t>
  </si>
  <si>
    <t>AÑO</t>
  </si>
  <si>
    <t>CONSERVADOR</t>
  </si>
  <si>
    <t>PRECIO 2024</t>
  </si>
  <si>
    <t>OPTIMISTA</t>
  </si>
  <si>
    <t xml:space="preserve">ya he recuperado 42" </t>
  </si>
  <si>
    <t>RENDIMIENTO MENSUAL ESTIMADO</t>
  </si>
  <si>
    <t>RENDIMIENTO ANUAL ESTIMADO</t>
  </si>
  <si>
    <t>CUOTA INICIAL</t>
  </si>
  <si>
    <t>CUOTA INICIAL TOTAL</t>
  </si>
  <si>
    <t>GENERACION TECNICA KWh</t>
  </si>
  <si>
    <t>SALDO A DIFERIR</t>
  </si>
  <si>
    <t>No DE CUOTAS</t>
  </si>
  <si>
    <t>INFLACION ESTIMADA ANUAL</t>
  </si>
  <si>
    <t>VALOR CUOTA MENSUAL</t>
  </si>
  <si>
    <t>UNIDADES REQUERIDAS</t>
  </si>
  <si>
    <t>PLAN DE PAGOS</t>
  </si>
  <si>
    <t>CUOTA 1</t>
  </si>
  <si>
    <t>CUOTA 2</t>
  </si>
  <si>
    <t>CUOTA 3</t>
  </si>
  <si>
    <t>CUOTA 4</t>
  </si>
  <si>
    <t>CUOTA 5</t>
  </si>
  <si>
    <t>CUOTA 6</t>
  </si>
  <si>
    <t>CUOTA 7</t>
  </si>
  <si>
    <t>CUOTA 8</t>
  </si>
  <si>
    <t>GANANCIA MES UNIDAD</t>
  </si>
  <si>
    <t>CUOTA 9</t>
  </si>
  <si>
    <t>CUOTA 10</t>
  </si>
  <si>
    <t>GANANCIA MES INVERSION</t>
  </si>
  <si>
    <t>CUOTA 11</t>
  </si>
  <si>
    <t>GANANCIA TOTAL INVERSIÓN EN 21 AÑOS</t>
  </si>
  <si>
    <t>CUOTA 12</t>
  </si>
  <si>
    <t>APORTES TOTALES</t>
  </si>
  <si>
    <t>TOTAL EJERCICIO</t>
  </si>
  <si>
    <t>MULTIPLICADOR DE INVERSIÓN</t>
  </si>
  <si>
    <t>UNIDADES COTIZADAS</t>
  </si>
  <si>
    <t>GENERACION ESTIMADA KWp</t>
  </si>
  <si>
    <t>SIMULADOR RENTABILIDAD CON PRECIOS HISTORICOS DE LA ENERGIA 2025</t>
  </si>
  <si>
    <t>PRECIO GRANJA KW/h</t>
  </si>
  <si>
    <t>PRECIO ELECTROLINERA KW/h</t>
  </si>
  <si>
    <t>RECAUDO ELECTROLINERA AÑO</t>
  </si>
  <si>
    <t>RECAUDO GRANJA AÑO</t>
  </si>
  <si>
    <t>% VENDIDO X GRANJA</t>
  </si>
  <si>
    <t>% VENDIDO X ELECTROLINERA</t>
  </si>
  <si>
    <t>RECAUDO GRANJA MES</t>
  </si>
  <si>
    <t>RECAUDO ELECTROLINERA MES</t>
  </si>
  <si>
    <t>RECAUDO TOTAL  AÑO</t>
  </si>
  <si>
    <t>RECAUDO TOTAL 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</si>
</sst>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11">
    <font>
      <sz val="11"/>
      <color theme="1"/>
      <name val="Calibri"/>
      <scheme val="minor"/>
    </font>
    <font>
      <sz val="11"/>
      <color theme="0"/>
      <name val="Calibri"/>
    </font>
    <font>
      <sz val="11"/>
      <name val="Calibri"/>
    </font>
    <font>
      <sz val="11"/>
      <color theme="1"/>
      <name val="Calibri"/>
    </font>
    <font>
      <sz val="11"/>
      <color rgb="FFFFFFFF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4"/>
      <color theme="1"/>
      <name val="Calibri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1859B"/>
        <bgColor rgb="FF31859B"/>
      </patternFill>
    </fill>
    <fill>
      <patternFill patternType="solid">
        <fgColor rgb="FFDAEEF3"/>
        <bgColor rgb="FFDAEEF3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 applyFont="1" applyAlignment="1"/>
    <xf numFmtId="0" fontId="1" fillId="2" borderId="4" xfId="0" applyFont="1" applyFill="1" applyBorder="1"/>
    <xf numFmtId="0" fontId="3" fillId="3" borderId="4" xfId="0" applyFont="1" applyFill="1" applyBorder="1"/>
    <xf numFmtId="0" fontId="1" fillId="0" borderId="0" xfId="0" applyFont="1"/>
    <xf numFmtId="0" fontId="3" fillId="3" borderId="4" xfId="0" applyFont="1" applyFill="1" applyBorder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1" fontId="3" fillId="3" borderId="4" xfId="0" applyNumberFormat="1" applyFont="1" applyFill="1" applyBorder="1"/>
    <xf numFmtId="164" fontId="3" fillId="3" borderId="4" xfId="0" applyNumberFormat="1" applyFont="1" applyFill="1" applyBorder="1"/>
    <xf numFmtId="164" fontId="3" fillId="0" borderId="4" xfId="0" applyNumberFormat="1" applyFont="1" applyBorder="1"/>
    <xf numFmtId="2" fontId="3" fillId="0" borderId="4" xfId="0" applyNumberFormat="1" applyFont="1" applyBorder="1"/>
    <xf numFmtId="2" fontId="3" fillId="3" borderId="4" xfId="0" applyNumberFormat="1" applyFont="1" applyFill="1" applyBorder="1"/>
    <xf numFmtId="0" fontId="1" fillId="2" borderId="4" xfId="0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right"/>
    </xf>
    <xf numFmtId="0" fontId="3" fillId="0" borderId="0" xfId="0" applyFont="1"/>
    <xf numFmtId="0" fontId="1" fillId="4" borderId="4" xfId="0" applyFont="1" applyFill="1" applyBorder="1"/>
    <xf numFmtId="0" fontId="3" fillId="0" borderId="4" xfId="0" applyFont="1" applyBorder="1"/>
    <xf numFmtId="9" fontId="3" fillId="3" borderId="4" xfId="0" applyNumberFormat="1" applyFont="1" applyFill="1" applyBorder="1" applyAlignment="1"/>
    <xf numFmtId="0" fontId="4" fillId="2" borderId="4" xfId="0" applyFont="1" applyFill="1" applyBorder="1" applyAlignment="1"/>
    <xf numFmtId="0" fontId="3" fillId="3" borderId="4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164" fontId="4" fillId="2" borderId="4" xfId="0" applyNumberFormat="1" applyFont="1" applyFill="1" applyBorder="1" applyAlignment="1"/>
    <xf numFmtId="164" fontId="3" fillId="0" borderId="4" xfId="0" applyNumberFormat="1" applyFont="1" applyBorder="1" applyAlignment="1"/>
    <xf numFmtId="2" fontId="4" fillId="2" borderId="4" xfId="0" applyNumberFormat="1" applyFont="1" applyFill="1" applyBorder="1" applyAlignment="1"/>
    <xf numFmtId="164" fontId="3" fillId="0" borderId="4" xfId="0" applyNumberFormat="1" applyFont="1" applyBorder="1" applyAlignment="1">
      <alignment horizontal="right"/>
    </xf>
    <xf numFmtId="0" fontId="4" fillId="2" borderId="4" xfId="0" applyFont="1" applyFill="1" applyBorder="1" applyAlignment="1"/>
    <xf numFmtId="164" fontId="4" fillId="2" borderId="4" xfId="0" applyNumberFormat="1" applyFont="1" applyFill="1" applyBorder="1" applyAlignment="1"/>
    <xf numFmtId="10" fontId="3" fillId="0" borderId="4" xfId="0" applyNumberFormat="1" applyFont="1" applyBorder="1" applyAlignment="1">
      <alignment horizontal="right"/>
    </xf>
    <xf numFmtId="164" fontId="3" fillId="3" borderId="4" xfId="0" applyNumberFormat="1" applyFont="1" applyFill="1" applyBorder="1" applyAlignment="1"/>
    <xf numFmtId="0" fontId="4" fillId="2" borderId="4" xfId="0" applyFont="1" applyFill="1" applyBorder="1" applyAlignment="1"/>
    <xf numFmtId="0" fontId="5" fillId="0" borderId="0" xfId="0" applyFont="1" applyAlignment="1"/>
    <xf numFmtId="0" fontId="3" fillId="3" borderId="4" xfId="0" applyFont="1" applyFill="1" applyBorder="1" applyAlignment="1"/>
    <xf numFmtId="10" fontId="3" fillId="0" borderId="4" xfId="0" applyNumberFormat="1" applyFont="1" applyBorder="1"/>
    <xf numFmtId="0" fontId="3" fillId="0" borderId="4" xfId="0" applyFont="1" applyBorder="1" applyAlignment="1"/>
    <xf numFmtId="164" fontId="3" fillId="0" borderId="4" xfId="0" applyNumberFormat="1" applyFont="1" applyBorder="1" applyAlignment="1">
      <alignment horizontal="right"/>
    </xf>
    <xf numFmtId="10" fontId="3" fillId="0" borderId="4" xfId="0" applyNumberFormat="1" applyFont="1" applyBorder="1" applyAlignment="1"/>
    <xf numFmtId="0" fontId="4" fillId="4" borderId="4" xfId="0" applyFont="1" applyFill="1" applyBorder="1" applyAlignment="1"/>
    <xf numFmtId="165" fontId="6" fillId="0" borderId="0" xfId="0" applyNumberFormat="1" applyFont="1" applyAlignment="1">
      <alignment horizontal="right"/>
    </xf>
    <xf numFmtId="165" fontId="5" fillId="0" borderId="0" xfId="0" applyNumberFormat="1" applyFont="1"/>
    <xf numFmtId="164" fontId="3" fillId="0" borderId="4" xfId="0" applyNumberFormat="1" applyFont="1" applyBorder="1" applyAlignment="1">
      <alignment horizontal="right"/>
    </xf>
    <xf numFmtId="10" fontId="5" fillId="0" borderId="4" xfId="0" applyNumberFormat="1" applyFont="1" applyBorder="1"/>
    <xf numFmtId="10" fontId="5" fillId="0" borderId="0" xfId="0" applyNumberFormat="1" applyFont="1"/>
    <xf numFmtId="0" fontId="6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horizontal="right"/>
    </xf>
    <xf numFmtId="10" fontId="6" fillId="0" borderId="4" xfId="0" applyNumberFormat="1" applyFont="1" applyBorder="1" applyAlignment="1"/>
    <xf numFmtId="164" fontId="5" fillId="0" borderId="0" xfId="0" applyNumberFormat="1" applyFont="1"/>
    <xf numFmtId="0" fontId="5" fillId="0" borderId="4" xfId="0" applyFont="1" applyBorder="1" applyAlignment="1"/>
    <xf numFmtId="164" fontId="5" fillId="0" borderId="4" xfId="0" applyNumberFormat="1" applyFont="1" applyBorder="1"/>
    <xf numFmtId="0" fontId="3" fillId="5" borderId="4" xfId="0" applyFont="1" applyFill="1" applyBorder="1" applyAlignment="1">
      <alignment horizontal="right"/>
    </xf>
    <xf numFmtId="3" fontId="3" fillId="5" borderId="4" xfId="0" applyNumberFormat="1" applyFont="1" applyFill="1" applyBorder="1" applyAlignment="1">
      <alignment horizontal="right"/>
    </xf>
    <xf numFmtId="164" fontId="3" fillId="5" borderId="4" xfId="0" applyNumberFormat="1" applyFont="1" applyFill="1" applyBorder="1" applyAlignment="1"/>
    <xf numFmtId="3" fontId="3" fillId="5" borderId="4" xfId="0" applyNumberFormat="1" applyFont="1" applyFill="1" applyBorder="1" applyAlignment="1"/>
    <xf numFmtId="0" fontId="4" fillId="2" borderId="4" xfId="0" applyFont="1" applyFill="1" applyBorder="1" applyAlignment="1"/>
    <xf numFmtId="10" fontId="6" fillId="0" borderId="3" xfId="0" applyNumberFormat="1" applyFont="1" applyBorder="1" applyAlignment="1">
      <alignment horizontal="right"/>
    </xf>
    <xf numFmtId="164" fontId="9" fillId="6" borderId="4" xfId="0" applyNumberFormat="1" applyFont="1" applyFill="1" applyBorder="1" applyAlignment="1">
      <alignment horizontal="right"/>
    </xf>
    <xf numFmtId="2" fontId="10" fillId="6" borderId="4" xfId="0" applyNumberFormat="1" applyFont="1" applyFill="1" applyBorder="1" applyAlignment="1">
      <alignment horizontal="right" vertical="center"/>
    </xf>
    <xf numFmtId="164" fontId="6" fillId="0" borderId="4" xfId="0" applyNumberFormat="1" applyFont="1" applyBorder="1" applyAlignment="1"/>
    <xf numFmtId="164" fontId="6" fillId="0" borderId="4" xfId="0" applyNumberFormat="1" applyFont="1" applyBorder="1" applyAlignment="1">
      <alignment horizontal="right"/>
    </xf>
    <xf numFmtId="0" fontId="1" fillId="4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/>
    <xf numFmtId="0" fontId="1" fillId="4" borderId="5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 wrapText="1"/>
    </xf>
    <xf numFmtId="0" fontId="1" fillId="2" borderId="8" xfId="0" applyFont="1" applyFill="1" applyBorder="1"/>
    <xf numFmtId="0" fontId="2" fillId="0" borderId="9" xfId="0" applyFont="1" applyBorder="1"/>
    <xf numFmtId="0" fontId="4" fillId="2" borderId="8" xfId="0" applyFont="1" applyFill="1" applyBorder="1" applyAlignment="1">
      <alignment horizontal="center" wrapText="1"/>
    </xf>
    <xf numFmtId="164" fontId="7" fillId="6" borderId="8" xfId="0" applyNumberFormat="1" applyFont="1" applyFill="1" applyBorder="1" applyAlignment="1">
      <alignment vertical="center"/>
    </xf>
    <xf numFmtId="164" fontId="4" fillId="2" borderId="8" xfId="0" applyNumberFormat="1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vertical="center"/>
    </xf>
    <xf numFmtId="0" fontId="8" fillId="2" borderId="1" xfId="0" applyFont="1" applyFill="1" applyBorder="1" applyAlignment="1">
      <alignment horizontal="center"/>
    </xf>
    <xf numFmtId="165" fontId="3" fillId="3" borderId="4" xfId="0" applyNumberFormat="1" applyFont="1" applyFill="1" applyBorder="1" applyAlignment="1"/>
    <xf numFmtId="10" fontId="3" fillId="7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showGridLines="0" zoomScale="70" zoomScaleNormal="70" workbookViewId="0">
      <selection activeCell="D25" sqref="D25"/>
    </sheetView>
  </sheetViews>
  <sheetFormatPr baseColWidth="10" defaultColWidth="14.44140625" defaultRowHeight="15" customHeight="1"/>
  <cols>
    <col min="1" max="8" width="25.6640625" customWidth="1"/>
    <col min="9" max="26" width="21.33203125" customWidth="1"/>
  </cols>
  <sheetData>
    <row r="1" spans="1:8" ht="14.25" customHeight="1"/>
    <row r="2" spans="1:8" ht="14.25" customHeight="1">
      <c r="A2" s="62" t="s">
        <v>0</v>
      </c>
      <c r="B2" s="63"/>
      <c r="C2" s="63"/>
      <c r="D2" s="63"/>
      <c r="E2" s="63"/>
      <c r="F2" s="63"/>
      <c r="G2" s="63"/>
      <c r="H2" s="64"/>
    </row>
    <row r="3" spans="1:8" ht="14.25" customHeight="1"/>
    <row r="4" spans="1:8" ht="14.25" customHeight="1">
      <c r="A4" s="1" t="s">
        <v>1</v>
      </c>
      <c r="B4" s="2">
        <f>B15+D15+F15+H15</f>
        <v>100</v>
      </c>
      <c r="D4" s="3"/>
      <c r="E4" s="3"/>
    </row>
    <row r="5" spans="1:8" ht="14.25" customHeight="1">
      <c r="A5" s="1" t="s">
        <v>2</v>
      </c>
      <c r="B5" s="4" t="s">
        <v>3</v>
      </c>
      <c r="D5" s="3"/>
      <c r="E5" s="5"/>
    </row>
    <row r="6" spans="1:8" ht="14.25" customHeight="1">
      <c r="A6" s="1" t="s">
        <v>4</v>
      </c>
      <c r="B6" s="4">
        <v>2200</v>
      </c>
      <c r="D6" s="3"/>
      <c r="E6" s="6"/>
    </row>
    <row r="7" spans="1:8" ht="14.25" customHeight="1">
      <c r="A7" s="1" t="s">
        <v>5</v>
      </c>
      <c r="B7" s="7">
        <v>120000</v>
      </c>
      <c r="D7" s="3"/>
      <c r="E7" s="6"/>
    </row>
    <row r="8" spans="1:8" ht="14.25" customHeight="1">
      <c r="A8" s="1" t="s">
        <v>6</v>
      </c>
      <c r="B8" s="7">
        <v>20000</v>
      </c>
      <c r="D8" s="3"/>
      <c r="E8" s="5"/>
    </row>
    <row r="9" spans="1:8" ht="14.25" customHeight="1">
      <c r="A9" s="1" t="s">
        <v>7</v>
      </c>
      <c r="B9" s="8">
        <v>600</v>
      </c>
      <c r="D9" s="3"/>
      <c r="E9" s="5"/>
    </row>
    <row r="10" spans="1:8" ht="14.25" customHeight="1">
      <c r="A10" s="1" t="s">
        <v>8</v>
      </c>
      <c r="B10" s="2">
        <v>4</v>
      </c>
    </row>
    <row r="11" spans="1:8" ht="14.25" customHeight="1">
      <c r="A11" s="1" t="s">
        <v>9</v>
      </c>
      <c r="B11" s="9">
        <f>(B15*B16)+(D15*D16)+(F15*F16)+(H15*H16)</f>
        <v>4250000000</v>
      </c>
    </row>
    <row r="12" spans="1:8" ht="14.25" customHeight="1"/>
    <row r="13" spans="1:8" ht="14.25" customHeight="1"/>
    <row r="14" spans="1:8" ht="14.25" customHeight="1">
      <c r="A14" s="62" t="s">
        <v>10</v>
      </c>
      <c r="B14" s="64"/>
      <c r="C14" s="62" t="s">
        <v>11</v>
      </c>
      <c r="D14" s="64"/>
      <c r="E14" s="62" t="s">
        <v>12</v>
      </c>
      <c r="F14" s="64"/>
      <c r="G14" s="62" t="s">
        <v>13</v>
      </c>
      <c r="H14" s="64"/>
    </row>
    <row r="15" spans="1:8" ht="14.25" customHeight="1">
      <c r="A15" s="1" t="s">
        <v>14</v>
      </c>
      <c r="B15" s="2">
        <v>15</v>
      </c>
      <c r="C15" s="1" t="s">
        <v>14</v>
      </c>
      <c r="D15" s="2">
        <v>40</v>
      </c>
      <c r="E15" s="1" t="s">
        <v>14</v>
      </c>
      <c r="F15" s="2">
        <v>25</v>
      </c>
      <c r="G15" s="1" t="s">
        <v>14</v>
      </c>
      <c r="H15" s="2">
        <v>20</v>
      </c>
    </row>
    <row r="16" spans="1:8" ht="14.25" customHeight="1">
      <c r="A16" s="1" t="s">
        <v>15</v>
      </c>
      <c r="B16" s="8">
        <v>35000000</v>
      </c>
      <c r="C16" s="1" t="s">
        <v>15</v>
      </c>
      <c r="D16" s="8">
        <v>40000000</v>
      </c>
      <c r="E16" s="1" t="s">
        <v>15</v>
      </c>
      <c r="F16" s="8">
        <v>45000000</v>
      </c>
      <c r="G16" s="1" t="s">
        <v>15</v>
      </c>
      <c r="H16" s="8">
        <v>50000000</v>
      </c>
    </row>
    <row r="17" spans="1:8" ht="14.25" customHeight="1">
      <c r="A17" s="1" t="s">
        <v>16</v>
      </c>
      <c r="B17" s="8">
        <f>B15*B16</f>
        <v>525000000</v>
      </c>
      <c r="C17" s="1"/>
      <c r="D17" s="8">
        <f>D15*D16</f>
        <v>1600000000</v>
      </c>
      <c r="E17" s="1"/>
      <c r="F17" s="8">
        <f>F15*F16</f>
        <v>1125000000</v>
      </c>
      <c r="G17" s="1"/>
      <c r="H17" s="8">
        <f>H15*H16</f>
        <v>1000000000</v>
      </c>
    </row>
    <row r="18" spans="1:8" ht="14.25" customHeight="1">
      <c r="A18" s="1" t="s">
        <v>17</v>
      </c>
      <c r="B18" s="10">
        <f>B19*12</f>
        <v>14.399999999999999</v>
      </c>
      <c r="C18" s="1" t="s">
        <v>17</v>
      </c>
      <c r="D18" s="10">
        <f>D19*12</f>
        <v>13.799999999999999</v>
      </c>
      <c r="E18" s="1" t="s">
        <v>17</v>
      </c>
      <c r="F18" s="10">
        <f>F19*12</f>
        <v>13.200000000000001</v>
      </c>
      <c r="G18" s="1" t="s">
        <v>17</v>
      </c>
      <c r="H18" s="10">
        <f>H19*12</f>
        <v>12.600000000000001</v>
      </c>
    </row>
    <row r="19" spans="1:8" ht="14.25" customHeight="1">
      <c r="A19" s="1" t="s">
        <v>18</v>
      </c>
      <c r="B19" s="11">
        <v>1.2</v>
      </c>
      <c r="C19" s="1" t="s">
        <v>18</v>
      </c>
      <c r="D19" s="11">
        <v>1.1499999999999999</v>
      </c>
      <c r="E19" s="1" t="s">
        <v>18</v>
      </c>
      <c r="F19" s="11">
        <v>1.1000000000000001</v>
      </c>
      <c r="G19" s="1" t="s">
        <v>18</v>
      </c>
      <c r="H19" s="11">
        <v>1.05</v>
      </c>
    </row>
    <row r="20" spans="1:8" ht="14.25" customHeight="1">
      <c r="A20" s="1" t="s">
        <v>19</v>
      </c>
      <c r="B20" s="9">
        <f>B16*B18%</f>
        <v>5040000</v>
      </c>
      <c r="C20" s="1" t="s">
        <v>19</v>
      </c>
      <c r="D20" s="9">
        <f>D16*D18%</f>
        <v>5519999.9999999991</v>
      </c>
      <c r="E20" s="1" t="s">
        <v>19</v>
      </c>
      <c r="F20" s="9">
        <f>F16*F18%</f>
        <v>5940000</v>
      </c>
      <c r="G20" s="1" t="s">
        <v>19</v>
      </c>
      <c r="H20" s="9">
        <f>H16*H18%</f>
        <v>6300000</v>
      </c>
    </row>
    <row r="21" spans="1:8" ht="14.25" customHeight="1">
      <c r="A21" s="1" t="s">
        <v>20</v>
      </c>
      <c r="B21" s="9">
        <f>B16*B19%</f>
        <v>420000</v>
      </c>
      <c r="C21" s="1" t="s">
        <v>20</v>
      </c>
      <c r="D21" s="9">
        <f>D16*D19%</f>
        <v>460000</v>
      </c>
      <c r="E21" s="1" t="s">
        <v>20</v>
      </c>
      <c r="F21" s="9">
        <f>F16*F19%</f>
        <v>495000.00000000006</v>
      </c>
      <c r="G21" s="1" t="s">
        <v>20</v>
      </c>
      <c r="H21" s="9">
        <f>H16*H19%</f>
        <v>525000</v>
      </c>
    </row>
    <row r="22" spans="1:8" ht="14.25" customHeight="1">
      <c r="A22" s="1" t="s">
        <v>21</v>
      </c>
      <c r="B22" s="9">
        <f>B21*B15</f>
        <v>6300000</v>
      </c>
      <c r="C22" s="1" t="s">
        <v>21</v>
      </c>
      <c r="D22" s="9">
        <f>D21*D15</f>
        <v>18400000</v>
      </c>
      <c r="E22" s="1" t="s">
        <v>21</v>
      </c>
      <c r="F22" s="9">
        <f>F21*F15</f>
        <v>12375000.000000002</v>
      </c>
      <c r="G22" s="1" t="s">
        <v>21</v>
      </c>
      <c r="H22" s="9">
        <f>H21*H15</f>
        <v>10500000</v>
      </c>
    </row>
    <row r="23" spans="1:8" ht="14.25" customHeight="1"/>
    <row r="24" spans="1:8" ht="14.25" customHeight="1"/>
    <row r="25" spans="1:8" ht="14.25" customHeight="1">
      <c r="A25" s="1" t="s">
        <v>22</v>
      </c>
      <c r="B25" s="12" t="s">
        <v>23</v>
      </c>
      <c r="C25" s="12" t="s">
        <v>24</v>
      </c>
      <c r="D25" s="12" t="s">
        <v>25</v>
      </c>
      <c r="E25" s="12" t="s">
        <v>26</v>
      </c>
      <c r="F25" s="12" t="s">
        <v>27</v>
      </c>
      <c r="G25" s="12" t="s">
        <v>28</v>
      </c>
      <c r="H25" s="12" t="s">
        <v>29</v>
      </c>
    </row>
    <row r="26" spans="1:8" ht="14.25" customHeight="1">
      <c r="A26" s="1" t="s">
        <v>30</v>
      </c>
      <c r="B26" s="13">
        <f>B7*B9</f>
        <v>72000000</v>
      </c>
      <c r="C26" s="9">
        <f t="shared" ref="C26:H26" si="0">B26*1.005</f>
        <v>72359999.999999985</v>
      </c>
      <c r="D26" s="9">
        <f t="shared" si="0"/>
        <v>72721799.99999997</v>
      </c>
      <c r="E26" s="9">
        <f t="shared" si="0"/>
        <v>73085408.999999955</v>
      </c>
      <c r="F26" s="9">
        <f t="shared" si="0"/>
        <v>73450836.044999942</v>
      </c>
      <c r="G26" s="9">
        <f t="shared" si="0"/>
        <v>73818090.225224927</v>
      </c>
      <c r="H26" s="9">
        <f t="shared" si="0"/>
        <v>74187180.676351041</v>
      </c>
    </row>
    <row r="27" spans="1:8" ht="14.25" customHeight="1">
      <c r="A27" s="1" t="s">
        <v>31</v>
      </c>
      <c r="B27" s="13">
        <f>(B7-B8)*B9</f>
        <v>60000000</v>
      </c>
      <c r="C27" s="9">
        <f t="shared" ref="C27:H27" si="1">B27*1.005</f>
        <v>60299999.999999993</v>
      </c>
      <c r="D27" s="9">
        <f t="shared" si="1"/>
        <v>60601499.999999985</v>
      </c>
      <c r="E27" s="9">
        <f t="shared" si="1"/>
        <v>60904507.499999978</v>
      </c>
      <c r="F27" s="9">
        <f t="shared" si="1"/>
        <v>61209030.037499972</v>
      </c>
      <c r="G27" s="9">
        <f t="shared" si="1"/>
        <v>61515075.187687464</v>
      </c>
      <c r="H27" s="9">
        <f t="shared" si="1"/>
        <v>61822650.563625894</v>
      </c>
    </row>
    <row r="28" spans="1:8" ht="14.25" customHeight="1">
      <c r="A28" s="1" t="s">
        <v>32</v>
      </c>
      <c r="B28" s="13">
        <f>B22+D22+F22+H22</f>
        <v>47575000</v>
      </c>
      <c r="C28" s="9">
        <f t="shared" ref="C28:H28" si="2">B28*1.0025</f>
        <v>47693937.5</v>
      </c>
      <c r="D28" s="9">
        <f t="shared" si="2"/>
        <v>47813172.34375</v>
      </c>
      <c r="E28" s="9">
        <f t="shared" si="2"/>
        <v>47932705.274609372</v>
      </c>
      <c r="F28" s="9">
        <f t="shared" si="2"/>
        <v>48052537.037795894</v>
      </c>
      <c r="G28" s="9">
        <f t="shared" si="2"/>
        <v>48172668.380390383</v>
      </c>
      <c r="H28" s="9">
        <f t="shared" si="2"/>
        <v>48293100.051341355</v>
      </c>
    </row>
    <row r="29" spans="1:8" ht="14.25" customHeight="1">
      <c r="A29" s="1" t="s">
        <v>33</v>
      </c>
      <c r="B29" s="9">
        <f t="shared" ref="B29:H29" si="3">B27-B28</f>
        <v>12425000</v>
      </c>
      <c r="C29" s="9">
        <f t="shared" si="3"/>
        <v>12606062.499999993</v>
      </c>
      <c r="D29" s="9">
        <f t="shared" si="3"/>
        <v>12788327.656249985</v>
      </c>
      <c r="E29" s="9">
        <f t="shared" si="3"/>
        <v>12971802.225390606</v>
      </c>
      <c r="F29" s="9">
        <f t="shared" si="3"/>
        <v>13156492.999704078</v>
      </c>
      <c r="G29" s="9">
        <f t="shared" si="3"/>
        <v>13342406.807297081</v>
      </c>
      <c r="H29" s="9">
        <f t="shared" si="3"/>
        <v>13529550.51228454</v>
      </c>
    </row>
    <row r="30" spans="1:8" ht="14.25" customHeight="1">
      <c r="A30" s="14"/>
      <c r="B30" s="14"/>
      <c r="C30" s="14"/>
      <c r="D30" s="14"/>
      <c r="E30" s="14"/>
      <c r="F30" s="14"/>
      <c r="G30" s="14"/>
      <c r="H30" s="14"/>
    </row>
    <row r="31" spans="1:8" ht="14.25" customHeight="1">
      <c r="A31" s="1" t="s">
        <v>34</v>
      </c>
      <c r="B31" s="9">
        <f t="shared" ref="B31:H31" si="4">B27*10%</f>
        <v>6000000</v>
      </c>
      <c r="C31" s="9">
        <f t="shared" si="4"/>
        <v>6030000</v>
      </c>
      <c r="D31" s="9">
        <f t="shared" si="4"/>
        <v>6060149.9999999991</v>
      </c>
      <c r="E31" s="9">
        <f t="shared" si="4"/>
        <v>6090450.7499999981</v>
      </c>
      <c r="F31" s="9">
        <f t="shared" si="4"/>
        <v>6120903.0037499974</v>
      </c>
      <c r="G31" s="9">
        <f t="shared" si="4"/>
        <v>6151507.5187687464</v>
      </c>
      <c r="H31" s="9">
        <f t="shared" si="4"/>
        <v>6182265.0563625898</v>
      </c>
    </row>
    <row r="32" spans="1:8" ht="14.25" customHeight="1">
      <c r="A32" s="1" t="s">
        <v>35</v>
      </c>
      <c r="B32" s="9">
        <f t="shared" ref="B32:H32" si="5">B29-B31</f>
        <v>6425000</v>
      </c>
      <c r="C32" s="9">
        <f t="shared" si="5"/>
        <v>6576062.4999999925</v>
      </c>
      <c r="D32" s="9">
        <f t="shared" si="5"/>
        <v>6728177.656249986</v>
      </c>
      <c r="E32" s="9">
        <f t="shared" si="5"/>
        <v>6881351.4753906075</v>
      </c>
      <c r="F32" s="9">
        <f t="shared" si="5"/>
        <v>7035589.9959540805</v>
      </c>
      <c r="G32" s="9">
        <f t="shared" si="5"/>
        <v>7190899.2885283343</v>
      </c>
      <c r="H32" s="9">
        <f t="shared" si="5"/>
        <v>7347285.4559219498</v>
      </c>
    </row>
    <row r="33" spans="1:8" ht="14.25" customHeight="1">
      <c r="A33" s="3"/>
      <c r="B33" s="5"/>
      <c r="C33" s="5"/>
      <c r="D33" s="5"/>
      <c r="E33" s="5"/>
      <c r="F33" s="5"/>
      <c r="G33" s="5"/>
      <c r="H33" s="5"/>
    </row>
    <row r="34" spans="1:8" ht="14.25" customHeight="1">
      <c r="A34" s="1" t="s">
        <v>36</v>
      </c>
      <c r="B34" s="9">
        <f t="shared" ref="B34:H34" si="6">18000000/12</f>
        <v>1500000</v>
      </c>
      <c r="C34" s="9">
        <f t="shared" si="6"/>
        <v>1500000</v>
      </c>
      <c r="D34" s="9">
        <f t="shared" si="6"/>
        <v>1500000</v>
      </c>
      <c r="E34" s="9">
        <f t="shared" si="6"/>
        <v>1500000</v>
      </c>
      <c r="F34" s="9">
        <f t="shared" si="6"/>
        <v>1500000</v>
      </c>
      <c r="G34" s="9">
        <f t="shared" si="6"/>
        <v>1500000</v>
      </c>
      <c r="H34" s="9">
        <f t="shared" si="6"/>
        <v>1500000</v>
      </c>
    </row>
    <row r="35" spans="1:8" ht="14.25" customHeight="1">
      <c r="A35" s="1" t="s">
        <v>37</v>
      </c>
      <c r="B35" s="9">
        <f t="shared" ref="B35:H35" si="7">B32-B34</f>
        <v>4925000</v>
      </c>
      <c r="C35" s="9">
        <f t="shared" si="7"/>
        <v>5076062.4999999925</v>
      </c>
      <c r="D35" s="9">
        <f t="shared" si="7"/>
        <v>5228177.656249986</v>
      </c>
      <c r="E35" s="9">
        <f t="shared" si="7"/>
        <v>5381351.4753906075</v>
      </c>
      <c r="F35" s="9">
        <f t="shared" si="7"/>
        <v>5535589.9959540805</v>
      </c>
      <c r="G35" s="9">
        <f t="shared" si="7"/>
        <v>5690899.2885283343</v>
      </c>
      <c r="H35" s="9">
        <f t="shared" si="7"/>
        <v>5847285.4559219498</v>
      </c>
    </row>
    <row r="36" spans="1:8" ht="14.25" customHeight="1"/>
    <row r="37" spans="1:8" ht="14.25" customHeight="1">
      <c r="A37" s="59" t="s">
        <v>38</v>
      </c>
      <c r="B37" s="60"/>
      <c r="C37" s="60"/>
      <c r="D37" s="60"/>
      <c r="E37" s="60"/>
      <c r="F37" s="60"/>
      <c r="G37" s="60"/>
      <c r="H37" s="61"/>
    </row>
    <row r="38" spans="1:8" ht="14.25" customHeight="1">
      <c r="A38" s="15" t="s">
        <v>39</v>
      </c>
      <c r="B38" s="15" t="s">
        <v>40</v>
      </c>
      <c r="C38" s="15" t="s">
        <v>41</v>
      </c>
      <c r="D38" s="15" t="s">
        <v>42</v>
      </c>
      <c r="E38" s="15" t="s">
        <v>43</v>
      </c>
      <c r="F38" s="15" t="s">
        <v>44</v>
      </c>
      <c r="G38" s="15" t="s">
        <v>45</v>
      </c>
      <c r="H38" s="15" t="s">
        <v>46</v>
      </c>
    </row>
    <row r="39" spans="1:8" ht="14.25" customHeight="1">
      <c r="A39" s="15" t="s">
        <v>47</v>
      </c>
      <c r="B39" s="8">
        <f>B16</f>
        <v>35000000</v>
      </c>
      <c r="C39" s="9">
        <f t="shared" ref="C39:H39" si="8">B39</f>
        <v>35000000</v>
      </c>
      <c r="D39" s="9">
        <f t="shared" si="8"/>
        <v>35000000</v>
      </c>
      <c r="E39" s="9">
        <f t="shared" si="8"/>
        <v>35000000</v>
      </c>
      <c r="F39" s="9">
        <f t="shared" si="8"/>
        <v>35000000</v>
      </c>
      <c r="G39" s="9">
        <f t="shared" si="8"/>
        <v>35000000</v>
      </c>
      <c r="H39" s="9">
        <f t="shared" si="8"/>
        <v>35000000</v>
      </c>
    </row>
    <row r="40" spans="1:8" ht="14.25" customHeight="1">
      <c r="A40" s="1" t="s">
        <v>17</v>
      </c>
      <c r="B40" s="11">
        <f>B18</f>
        <v>14.399999999999999</v>
      </c>
      <c r="C40" s="10">
        <f t="shared" ref="C40:H40" si="9">B40*1.03</f>
        <v>14.831999999999999</v>
      </c>
      <c r="D40" s="10">
        <f t="shared" si="9"/>
        <v>15.276959999999999</v>
      </c>
      <c r="E40" s="10">
        <f t="shared" si="9"/>
        <v>15.7352688</v>
      </c>
      <c r="F40" s="10">
        <f t="shared" si="9"/>
        <v>16.207326863999999</v>
      </c>
      <c r="G40" s="10">
        <f t="shared" si="9"/>
        <v>16.69354666992</v>
      </c>
      <c r="H40" s="10">
        <f t="shared" si="9"/>
        <v>17.194353070017602</v>
      </c>
    </row>
    <row r="41" spans="1:8" ht="14.25" customHeight="1">
      <c r="A41" s="1" t="s">
        <v>18</v>
      </c>
      <c r="B41" s="10">
        <f t="shared" ref="B41:H41" si="10">B40/12</f>
        <v>1.2</v>
      </c>
      <c r="C41" s="10">
        <f t="shared" si="10"/>
        <v>1.236</v>
      </c>
      <c r="D41" s="10">
        <f t="shared" si="10"/>
        <v>1.27308</v>
      </c>
      <c r="E41" s="10">
        <f t="shared" si="10"/>
        <v>1.3112724</v>
      </c>
      <c r="F41" s="10">
        <f t="shared" si="10"/>
        <v>1.3506105719999999</v>
      </c>
      <c r="G41" s="10">
        <f t="shared" si="10"/>
        <v>1.39112888916</v>
      </c>
      <c r="H41" s="10">
        <f t="shared" si="10"/>
        <v>1.4328627558348002</v>
      </c>
    </row>
    <row r="42" spans="1:8" ht="14.25" customHeight="1">
      <c r="A42" s="1" t="s">
        <v>19</v>
      </c>
      <c r="B42" s="9">
        <f t="shared" ref="B42:H42" si="11">B39*B40%</f>
        <v>5040000</v>
      </c>
      <c r="C42" s="9">
        <f t="shared" si="11"/>
        <v>5191199.9999999991</v>
      </c>
      <c r="D42" s="9">
        <f t="shared" si="11"/>
        <v>5346935.9999999991</v>
      </c>
      <c r="E42" s="9">
        <f t="shared" si="11"/>
        <v>5507344.0800000001</v>
      </c>
      <c r="F42" s="9">
        <f t="shared" si="11"/>
        <v>5672564.4024</v>
      </c>
      <c r="G42" s="9">
        <f t="shared" si="11"/>
        <v>5842741.3344720006</v>
      </c>
      <c r="H42" s="9">
        <f t="shared" si="11"/>
        <v>6018023.5745061608</v>
      </c>
    </row>
    <row r="43" spans="1:8" ht="14.25" customHeight="1">
      <c r="A43" s="1" t="s">
        <v>20</v>
      </c>
      <c r="B43" s="9">
        <f t="shared" ref="B43:H43" si="12">B39*B41%</f>
        <v>420000</v>
      </c>
      <c r="C43" s="9">
        <f t="shared" si="12"/>
        <v>432600</v>
      </c>
      <c r="D43" s="9">
        <f t="shared" si="12"/>
        <v>445578</v>
      </c>
      <c r="E43" s="9">
        <f t="shared" si="12"/>
        <v>458945.33999999997</v>
      </c>
      <c r="F43" s="9">
        <f t="shared" si="12"/>
        <v>472713.70019999996</v>
      </c>
      <c r="G43" s="9">
        <f t="shared" si="12"/>
        <v>486895.11120599997</v>
      </c>
      <c r="H43" s="9">
        <f t="shared" si="12"/>
        <v>501501.96454218007</v>
      </c>
    </row>
    <row r="44" spans="1:8" ht="14.25" customHeight="1"/>
    <row r="45" spans="1:8" ht="14.25" customHeight="1"/>
    <row r="46" spans="1:8" ht="14.25" customHeight="1"/>
    <row r="47" spans="1:8" ht="14.25" customHeight="1"/>
    <row r="48" spans="1: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37:H37"/>
    <mergeCell ref="A2:H2"/>
    <mergeCell ref="A14:B14"/>
    <mergeCell ref="C14:D14"/>
    <mergeCell ref="E14:F14"/>
    <mergeCell ref="G14:H14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6"/>
  <sheetViews>
    <sheetView showGridLines="0" zoomScale="85" zoomScaleNormal="85" workbookViewId="0">
      <selection activeCell="C17" sqref="C17"/>
    </sheetView>
  </sheetViews>
  <sheetFormatPr baseColWidth="10" defaultColWidth="14.44140625" defaultRowHeight="15" customHeight="1"/>
  <cols>
    <col min="1" max="8" width="25.6640625" customWidth="1"/>
    <col min="9" max="26" width="21.33203125" customWidth="1"/>
  </cols>
  <sheetData>
    <row r="1" spans="1:8" ht="14.25" customHeight="1"/>
    <row r="2" spans="1:8" ht="14.25" customHeight="1">
      <c r="A2" s="62" t="s">
        <v>48</v>
      </c>
      <c r="B2" s="63"/>
      <c r="C2" s="63"/>
      <c r="D2" s="63"/>
      <c r="E2" s="63"/>
      <c r="F2" s="63"/>
      <c r="G2" s="63"/>
      <c r="H2" s="64"/>
    </row>
    <row r="3" spans="1:8" ht="14.25" customHeight="1"/>
    <row r="4" spans="1:8" ht="14.25" customHeight="1">
      <c r="A4" s="1" t="s">
        <v>1</v>
      </c>
      <c r="B4" s="16">
        <f>B23+D23+F23+H23</f>
        <v>100</v>
      </c>
      <c r="D4" s="3"/>
      <c r="E4" s="65" t="s">
        <v>49</v>
      </c>
      <c r="F4" s="64"/>
    </row>
    <row r="5" spans="1:8" ht="14.25" customHeight="1">
      <c r="A5" s="1" t="s">
        <v>50</v>
      </c>
      <c r="B5" s="17">
        <v>0.75</v>
      </c>
      <c r="D5" s="3"/>
      <c r="E5" s="18" t="s">
        <v>156</v>
      </c>
      <c r="F5" s="19">
        <v>1</v>
      </c>
    </row>
    <row r="6" spans="1:8" ht="14.25" customHeight="1">
      <c r="A6" s="1" t="s">
        <v>2</v>
      </c>
      <c r="B6" s="20" t="s">
        <v>51</v>
      </c>
      <c r="D6" s="3"/>
      <c r="E6" s="21" t="s">
        <v>52</v>
      </c>
      <c r="F6" s="17">
        <v>0</v>
      </c>
    </row>
    <row r="7" spans="1:8" ht="14.25" customHeight="1">
      <c r="B7" s="3">
        <f>100/120*100</f>
        <v>83.333333333333343</v>
      </c>
      <c r="D7" s="3"/>
      <c r="E7" s="1" t="s">
        <v>53</v>
      </c>
      <c r="F7" s="22">
        <f>B16/B4</f>
        <v>45000000</v>
      </c>
    </row>
    <row r="8" spans="1:8" ht="14.25" customHeight="1">
      <c r="A8" s="1" t="s">
        <v>4</v>
      </c>
      <c r="B8" s="4">
        <v>1400</v>
      </c>
      <c r="D8" s="3"/>
      <c r="E8" s="23" t="s">
        <v>54</v>
      </c>
      <c r="F8" s="24">
        <f>B13-(B13*F6)</f>
        <v>45000000</v>
      </c>
    </row>
    <row r="9" spans="1:8" ht="14.25" customHeight="1">
      <c r="A9" s="25" t="s">
        <v>55</v>
      </c>
      <c r="B9" s="7">
        <v>120000</v>
      </c>
      <c r="D9" s="3"/>
      <c r="E9" s="23" t="s">
        <v>56</v>
      </c>
      <c r="F9" s="24">
        <f>F5*F8</f>
        <v>45000000</v>
      </c>
    </row>
    <row r="10" spans="1:8" ht="14.25" customHeight="1">
      <c r="D10" s="3"/>
      <c r="E10" s="26" t="s">
        <v>57</v>
      </c>
      <c r="F10" s="24">
        <f>(B13*F5)-F9</f>
        <v>0</v>
      </c>
    </row>
    <row r="11" spans="1:8" ht="14.25" customHeight="1">
      <c r="A11" s="25" t="s">
        <v>58</v>
      </c>
      <c r="B11" s="7">
        <v>20000</v>
      </c>
      <c r="D11" s="3"/>
      <c r="E11" s="21" t="s">
        <v>59</v>
      </c>
      <c r="F11" s="27">
        <f>F12*12</f>
        <v>0.12</v>
      </c>
    </row>
    <row r="12" spans="1:8" ht="14.25" customHeight="1">
      <c r="A12" s="1" t="s">
        <v>7</v>
      </c>
      <c r="B12" s="28">
        <v>600</v>
      </c>
      <c r="D12" s="3"/>
      <c r="E12" s="21" t="s">
        <v>60</v>
      </c>
      <c r="F12" s="27">
        <f>F14/F8</f>
        <v>0.01</v>
      </c>
    </row>
    <row r="13" spans="1:8" ht="14.25" customHeight="1">
      <c r="A13" s="1" t="s">
        <v>53</v>
      </c>
      <c r="B13" s="22">
        <f>B16/B4</f>
        <v>45000000</v>
      </c>
      <c r="E13" s="26" t="s">
        <v>61</v>
      </c>
      <c r="F13" s="24">
        <f>B54</f>
        <v>5400000</v>
      </c>
    </row>
    <row r="14" spans="1:8" ht="14.25" customHeight="1">
      <c r="A14" s="1" t="s">
        <v>8</v>
      </c>
      <c r="B14" s="2">
        <v>4</v>
      </c>
      <c r="E14" s="29" t="s">
        <v>62</v>
      </c>
      <c r="F14" s="24">
        <f>B56</f>
        <v>450000</v>
      </c>
    </row>
    <row r="15" spans="1:8" ht="14.25" customHeight="1">
      <c r="E15" s="26" t="s">
        <v>63</v>
      </c>
      <c r="F15" s="24">
        <f>F13*F5</f>
        <v>5400000</v>
      </c>
    </row>
    <row r="16" spans="1:8" ht="14.25" customHeight="1">
      <c r="A16" s="1" t="s">
        <v>9</v>
      </c>
      <c r="B16" s="28">
        <v>4500000000</v>
      </c>
      <c r="E16" s="29" t="s">
        <v>64</v>
      </c>
      <c r="F16" s="24">
        <f>F14*F5</f>
        <v>450000</v>
      </c>
    </row>
    <row r="17" spans="1:8" ht="14.25" customHeight="1">
      <c r="A17" s="25" t="s">
        <v>65</v>
      </c>
      <c r="B17" s="22">
        <f>B26+D26+F26+H26</f>
        <v>4500000000</v>
      </c>
    </row>
    <row r="18" spans="1:8" ht="14.25" customHeight="1">
      <c r="A18" s="25" t="s">
        <v>66</v>
      </c>
      <c r="B18" s="28">
        <v>3800000000</v>
      </c>
    </row>
    <row r="19" spans="1:8" ht="14.25" customHeight="1">
      <c r="A19" s="25" t="s">
        <v>67</v>
      </c>
      <c r="B19" s="22">
        <f>B16-B18</f>
        <v>700000000</v>
      </c>
      <c r="C19" s="30">
        <v>1</v>
      </c>
    </row>
    <row r="20" spans="1:8" ht="14.25" customHeight="1">
      <c r="A20" s="25" t="s">
        <v>67</v>
      </c>
      <c r="B20" s="22">
        <f>B17-B18</f>
        <v>700000000</v>
      </c>
    </row>
    <row r="21" spans="1:8" ht="14.25" customHeight="1"/>
    <row r="22" spans="1:8" ht="14.25" customHeight="1">
      <c r="A22" s="62" t="s">
        <v>10</v>
      </c>
      <c r="B22" s="64"/>
      <c r="C22" s="62" t="s">
        <v>11</v>
      </c>
      <c r="D22" s="64"/>
      <c r="E22" s="62" t="s">
        <v>12</v>
      </c>
      <c r="F22" s="64"/>
      <c r="G22" s="62" t="s">
        <v>13</v>
      </c>
      <c r="H22" s="64"/>
    </row>
    <row r="23" spans="1:8" ht="14.25" customHeight="1">
      <c r="A23" s="1" t="s">
        <v>14</v>
      </c>
      <c r="B23" s="31">
        <v>20</v>
      </c>
      <c r="C23" s="1" t="s">
        <v>14</v>
      </c>
      <c r="D23" s="31">
        <v>30</v>
      </c>
      <c r="E23" s="1" t="s">
        <v>14</v>
      </c>
      <c r="F23" s="31">
        <v>30</v>
      </c>
      <c r="G23" s="1" t="s">
        <v>14</v>
      </c>
      <c r="H23" s="31">
        <v>20</v>
      </c>
    </row>
    <row r="24" spans="1:8" ht="14.25" customHeight="1">
      <c r="A24" s="1" t="s">
        <v>52</v>
      </c>
      <c r="B24" s="17">
        <v>0</v>
      </c>
      <c r="C24" s="1" t="s">
        <v>52</v>
      </c>
      <c r="D24" s="17">
        <v>0</v>
      </c>
      <c r="E24" s="1" t="s">
        <v>52</v>
      </c>
      <c r="F24" s="17">
        <v>0</v>
      </c>
      <c r="G24" s="1" t="s">
        <v>52</v>
      </c>
      <c r="H24" s="17">
        <v>0</v>
      </c>
    </row>
    <row r="25" spans="1:8" ht="14.25" customHeight="1">
      <c r="A25" s="1" t="s">
        <v>15</v>
      </c>
      <c r="B25" s="9">
        <f>B13-(B13*B24)</f>
        <v>45000000</v>
      </c>
      <c r="C25" s="1" t="s">
        <v>15</v>
      </c>
      <c r="D25" s="9">
        <f>B13-(B13*D24)</f>
        <v>45000000</v>
      </c>
      <c r="E25" s="1" t="s">
        <v>15</v>
      </c>
      <c r="F25" s="9">
        <f>B13-(B13*F24)</f>
        <v>45000000</v>
      </c>
      <c r="G25" s="1" t="s">
        <v>15</v>
      </c>
      <c r="H25" s="9">
        <f>B13-(B13*H24)</f>
        <v>45000000</v>
      </c>
    </row>
    <row r="26" spans="1:8" ht="14.25" customHeight="1">
      <c r="A26" s="1" t="s">
        <v>16</v>
      </c>
      <c r="B26" s="9">
        <f>B23*B25</f>
        <v>900000000</v>
      </c>
      <c r="C26" s="1" t="s">
        <v>16</v>
      </c>
      <c r="D26" s="9">
        <f>D23*D25</f>
        <v>1350000000</v>
      </c>
      <c r="E26" s="1" t="s">
        <v>16</v>
      </c>
      <c r="F26" s="9">
        <f>F23*F25</f>
        <v>1350000000</v>
      </c>
      <c r="G26" s="1" t="s">
        <v>16</v>
      </c>
      <c r="H26" s="9">
        <f>H23*H25</f>
        <v>900000000</v>
      </c>
    </row>
    <row r="27" spans="1:8" ht="14.25" customHeight="1">
      <c r="A27" s="1" t="s">
        <v>59</v>
      </c>
      <c r="B27" s="32">
        <f>B28*12</f>
        <v>0.12</v>
      </c>
      <c r="C27" s="1" t="s">
        <v>59</v>
      </c>
      <c r="D27" s="32">
        <f>D28*12</f>
        <v>0.12</v>
      </c>
      <c r="E27" s="1" t="s">
        <v>59</v>
      </c>
      <c r="F27" s="32">
        <f>F28*12</f>
        <v>0.12</v>
      </c>
      <c r="G27" s="1" t="s">
        <v>59</v>
      </c>
      <c r="H27" s="32">
        <f>H28*12</f>
        <v>0.12</v>
      </c>
    </row>
    <row r="28" spans="1:8" ht="14.25" customHeight="1">
      <c r="A28" s="1" t="s">
        <v>60</v>
      </c>
      <c r="B28" s="32">
        <f>B56/B25</f>
        <v>0.01</v>
      </c>
      <c r="C28" s="1" t="s">
        <v>60</v>
      </c>
      <c r="D28" s="32">
        <f>B56/D25</f>
        <v>0.01</v>
      </c>
      <c r="E28" s="1" t="s">
        <v>60</v>
      </c>
      <c r="F28" s="32">
        <f>B56/F25</f>
        <v>0.01</v>
      </c>
      <c r="G28" s="1" t="s">
        <v>60</v>
      </c>
      <c r="H28" s="32">
        <f>B56/H25</f>
        <v>0.01</v>
      </c>
    </row>
    <row r="29" spans="1:8" ht="14.25" customHeight="1">
      <c r="A29" s="25" t="s">
        <v>68</v>
      </c>
      <c r="B29" s="9">
        <f>B54</f>
        <v>5400000</v>
      </c>
      <c r="C29" s="25" t="s">
        <v>68</v>
      </c>
      <c r="D29" s="9">
        <f>B54</f>
        <v>5400000</v>
      </c>
      <c r="E29" s="25" t="s">
        <v>68</v>
      </c>
      <c r="F29" s="9">
        <f>B54</f>
        <v>5400000</v>
      </c>
      <c r="G29" s="25" t="s">
        <v>68</v>
      </c>
      <c r="H29" s="9">
        <f>B54</f>
        <v>5400000</v>
      </c>
    </row>
    <row r="30" spans="1:8" ht="14.25" customHeight="1">
      <c r="A30" s="25" t="s">
        <v>69</v>
      </c>
      <c r="B30" s="9">
        <f>B56</f>
        <v>450000</v>
      </c>
      <c r="C30" s="25" t="s">
        <v>69</v>
      </c>
      <c r="D30" s="9">
        <f>B56</f>
        <v>450000</v>
      </c>
      <c r="E30" s="25" t="s">
        <v>69</v>
      </c>
      <c r="F30" s="9">
        <f>B56</f>
        <v>450000</v>
      </c>
      <c r="G30" s="25" t="s">
        <v>69</v>
      </c>
      <c r="H30" s="9">
        <f>B56</f>
        <v>450000</v>
      </c>
    </row>
    <row r="31" spans="1:8" ht="14.25" customHeight="1">
      <c r="A31" s="25" t="s">
        <v>70</v>
      </c>
      <c r="B31" s="9">
        <f>B30*B23</f>
        <v>9000000</v>
      </c>
      <c r="C31" s="25" t="s">
        <v>70</v>
      </c>
      <c r="D31" s="9">
        <f>D30*D23</f>
        <v>13500000</v>
      </c>
      <c r="E31" s="25" t="s">
        <v>70</v>
      </c>
      <c r="F31" s="9">
        <f>F30*F23</f>
        <v>13500000</v>
      </c>
      <c r="G31" s="25" t="s">
        <v>70</v>
      </c>
      <c r="H31" s="9">
        <f>H30*H23</f>
        <v>9000000</v>
      </c>
    </row>
    <row r="32" spans="1:8" ht="14.25" customHeight="1">
      <c r="D32" s="14"/>
    </row>
    <row r="33" spans="1:8" ht="14.25" customHeight="1"/>
    <row r="34" spans="1:8" ht="14.25" customHeight="1">
      <c r="A34" s="25" t="s">
        <v>71</v>
      </c>
      <c r="B34" s="12" t="s">
        <v>23</v>
      </c>
      <c r="C34" s="12" t="s">
        <v>24</v>
      </c>
      <c r="D34" s="12" t="s">
        <v>25</v>
      </c>
      <c r="E34" s="12" t="s">
        <v>26</v>
      </c>
      <c r="F34" s="12" t="s">
        <v>27</v>
      </c>
      <c r="G34" s="12" t="s">
        <v>28</v>
      </c>
      <c r="H34" s="12" t="s">
        <v>29</v>
      </c>
    </row>
    <row r="35" spans="1:8" ht="14.25" customHeight="1">
      <c r="A35" s="1" t="s">
        <v>30</v>
      </c>
      <c r="B35" s="13">
        <f>B9*B12</f>
        <v>72000000</v>
      </c>
      <c r="C35" s="9">
        <f t="shared" ref="C35:H35" si="0">B35*1.005</f>
        <v>72359999.999999985</v>
      </c>
      <c r="D35" s="9">
        <f t="shared" si="0"/>
        <v>72721799.99999997</v>
      </c>
      <c r="E35" s="9">
        <f t="shared" si="0"/>
        <v>73085408.999999955</v>
      </c>
      <c r="F35" s="9">
        <f t="shared" si="0"/>
        <v>73450836.044999942</v>
      </c>
      <c r="G35" s="9">
        <f t="shared" si="0"/>
        <v>73818090.225224927</v>
      </c>
      <c r="H35" s="9">
        <f t="shared" si="0"/>
        <v>74187180.676351041</v>
      </c>
    </row>
    <row r="36" spans="1:8" ht="14.25" customHeight="1">
      <c r="A36" s="1" t="s">
        <v>31</v>
      </c>
      <c r="B36" s="13">
        <f>(B9-B11)*B12</f>
        <v>60000000</v>
      </c>
      <c r="C36" s="9">
        <f t="shared" ref="C36:H36" si="1">B36*1.005</f>
        <v>60299999.999999993</v>
      </c>
      <c r="D36" s="9">
        <f t="shared" si="1"/>
        <v>60601499.999999985</v>
      </c>
      <c r="E36" s="9">
        <f t="shared" si="1"/>
        <v>60904507.499999978</v>
      </c>
      <c r="F36" s="9">
        <f t="shared" si="1"/>
        <v>61209030.037499972</v>
      </c>
      <c r="G36" s="9">
        <f t="shared" si="1"/>
        <v>61515075.187687464</v>
      </c>
      <c r="H36" s="9">
        <f t="shared" si="1"/>
        <v>61822650.563625894</v>
      </c>
    </row>
    <row r="37" spans="1:8" ht="14.25" customHeight="1">
      <c r="A37" s="1" t="s">
        <v>32</v>
      </c>
      <c r="B37" s="13">
        <f>B36*(B52*B4)</f>
        <v>45000000</v>
      </c>
      <c r="C37" s="13">
        <f>C36*(B52*100)</f>
        <v>45224999.999999993</v>
      </c>
      <c r="D37" s="13">
        <f>D36*(B52*100)</f>
        <v>45451124.999999985</v>
      </c>
      <c r="E37" s="13">
        <f>E36*(B52*100)</f>
        <v>45678380.624999985</v>
      </c>
      <c r="F37" s="13">
        <f>F36*(B52*100)</f>
        <v>45906772.528124981</v>
      </c>
      <c r="G37" s="13">
        <f>G36*(B52*100)</f>
        <v>46136306.3907656</v>
      </c>
      <c r="H37" s="13">
        <f>H36*(B52*100)</f>
        <v>46366987.922719419</v>
      </c>
    </row>
    <row r="38" spans="1:8" ht="14.25" customHeight="1">
      <c r="A38" s="1" t="s">
        <v>33</v>
      </c>
      <c r="B38" s="9">
        <f t="shared" ref="B38:H38" si="2">B36-B37</f>
        <v>15000000</v>
      </c>
      <c r="C38" s="9">
        <f t="shared" si="2"/>
        <v>15075000</v>
      </c>
      <c r="D38" s="9">
        <f t="shared" si="2"/>
        <v>15150375</v>
      </c>
      <c r="E38" s="9">
        <f t="shared" si="2"/>
        <v>15226126.874999993</v>
      </c>
      <c r="F38" s="9">
        <f t="shared" si="2"/>
        <v>15302257.509374991</v>
      </c>
      <c r="G38" s="9">
        <f t="shared" si="2"/>
        <v>15378768.796921864</v>
      </c>
      <c r="H38" s="9">
        <f t="shared" si="2"/>
        <v>15455662.640906475</v>
      </c>
    </row>
    <row r="39" spans="1:8" ht="14.25" customHeight="1">
      <c r="A39" s="14"/>
      <c r="B39" s="14"/>
      <c r="C39" s="14"/>
      <c r="D39" s="14"/>
      <c r="E39" s="14"/>
      <c r="F39" s="14"/>
      <c r="G39" s="14"/>
      <c r="H39" s="14"/>
    </row>
    <row r="40" spans="1:8" ht="14.25" customHeight="1">
      <c r="A40" s="1" t="s">
        <v>34</v>
      </c>
      <c r="B40" s="9">
        <f t="shared" ref="B40:H40" si="3">B36*10%</f>
        <v>6000000</v>
      </c>
      <c r="C40" s="9">
        <f t="shared" si="3"/>
        <v>6030000</v>
      </c>
      <c r="D40" s="9">
        <f t="shared" si="3"/>
        <v>6060149.9999999991</v>
      </c>
      <c r="E40" s="9">
        <f t="shared" si="3"/>
        <v>6090450.7499999981</v>
      </c>
      <c r="F40" s="9">
        <f t="shared" si="3"/>
        <v>6120903.0037499974</v>
      </c>
      <c r="G40" s="9">
        <f t="shared" si="3"/>
        <v>6151507.5187687464</v>
      </c>
      <c r="H40" s="9">
        <f t="shared" si="3"/>
        <v>6182265.0563625898</v>
      </c>
    </row>
    <row r="41" spans="1:8" ht="14.25" customHeight="1">
      <c r="A41" s="1" t="s">
        <v>35</v>
      </c>
      <c r="B41" s="9">
        <f t="shared" ref="B41:H41" si="4">B38-B40</f>
        <v>9000000</v>
      </c>
      <c r="C41" s="9">
        <f t="shared" si="4"/>
        <v>9045000</v>
      </c>
      <c r="D41" s="9">
        <f t="shared" si="4"/>
        <v>9090225</v>
      </c>
      <c r="E41" s="9">
        <f t="shared" si="4"/>
        <v>9135676.1249999944</v>
      </c>
      <c r="F41" s="9">
        <f t="shared" si="4"/>
        <v>9181354.5056249946</v>
      </c>
      <c r="G41" s="9">
        <f t="shared" si="4"/>
        <v>9227261.2781531177</v>
      </c>
      <c r="H41" s="9">
        <f t="shared" si="4"/>
        <v>9273397.5845438857</v>
      </c>
    </row>
    <row r="42" spans="1:8" ht="14.25" customHeight="1">
      <c r="A42" s="3"/>
      <c r="B42" s="5"/>
      <c r="C42" s="5"/>
      <c r="D42" s="5"/>
      <c r="E42" s="5"/>
      <c r="F42" s="5"/>
      <c r="G42" s="5"/>
      <c r="H42" s="5"/>
    </row>
    <row r="43" spans="1:8" ht="14.25" customHeight="1">
      <c r="A43" s="1" t="s">
        <v>36</v>
      </c>
      <c r="B43" s="9">
        <f>B36*3%</f>
        <v>1800000</v>
      </c>
      <c r="C43" s="9">
        <f t="shared" ref="C43:H43" si="5">18000000/12</f>
        <v>1500000</v>
      </c>
      <c r="D43" s="9">
        <f t="shared" si="5"/>
        <v>1500000</v>
      </c>
      <c r="E43" s="9">
        <f t="shared" si="5"/>
        <v>1500000</v>
      </c>
      <c r="F43" s="9">
        <f t="shared" si="5"/>
        <v>1500000</v>
      </c>
      <c r="G43" s="9">
        <f t="shared" si="5"/>
        <v>1500000</v>
      </c>
      <c r="H43" s="9">
        <f t="shared" si="5"/>
        <v>1500000</v>
      </c>
    </row>
    <row r="44" spans="1:8" ht="14.25" customHeight="1">
      <c r="A44" s="1" t="s">
        <v>37</v>
      </c>
      <c r="B44" s="9">
        <f t="shared" ref="B44:H44" si="6">B41-B43</f>
        <v>7200000</v>
      </c>
      <c r="C44" s="9">
        <f t="shared" si="6"/>
        <v>7545000</v>
      </c>
      <c r="D44" s="9">
        <f t="shared" si="6"/>
        <v>7590225</v>
      </c>
      <c r="E44" s="9">
        <f t="shared" si="6"/>
        <v>7635676.1249999944</v>
      </c>
      <c r="F44" s="9">
        <f t="shared" si="6"/>
        <v>7681354.5056249946</v>
      </c>
      <c r="G44" s="9">
        <f t="shared" si="6"/>
        <v>7727261.2781531177</v>
      </c>
      <c r="H44" s="9">
        <f t="shared" si="6"/>
        <v>7773397.5845438857</v>
      </c>
    </row>
    <row r="45" spans="1:8" ht="14.25" customHeight="1"/>
    <row r="46" spans="1:8" ht="14.25" customHeight="1">
      <c r="A46" s="59" t="s">
        <v>38</v>
      </c>
      <c r="B46" s="60"/>
      <c r="C46" s="60"/>
      <c r="D46" s="60"/>
      <c r="E46" s="60"/>
      <c r="F46" s="60"/>
      <c r="G46" s="60"/>
      <c r="H46" s="61"/>
    </row>
    <row r="47" spans="1:8" ht="14.25" customHeight="1">
      <c r="A47" s="15" t="s">
        <v>39</v>
      </c>
      <c r="B47" s="15" t="s">
        <v>40</v>
      </c>
      <c r="C47" s="15" t="s">
        <v>72</v>
      </c>
      <c r="D47" s="15" t="s">
        <v>42</v>
      </c>
      <c r="E47" s="15" t="s">
        <v>43</v>
      </c>
      <c r="F47" s="15" t="s">
        <v>44</v>
      </c>
      <c r="G47" s="15" t="s">
        <v>45</v>
      </c>
      <c r="H47" s="15" t="s">
        <v>46</v>
      </c>
    </row>
    <row r="48" spans="1:8" ht="14.25" customHeight="1">
      <c r="A48" s="1" t="s">
        <v>73</v>
      </c>
      <c r="B48" s="9">
        <f t="shared" ref="B48:B49" si="7">B35*12</f>
        <v>864000000</v>
      </c>
      <c r="C48" s="9">
        <f t="shared" ref="C48:H48" si="8">B48*1.06</f>
        <v>915840000</v>
      </c>
      <c r="D48" s="9">
        <f t="shared" si="8"/>
        <v>970790400</v>
      </c>
      <c r="E48" s="9">
        <f t="shared" si="8"/>
        <v>1029037824</v>
      </c>
      <c r="F48" s="9">
        <f t="shared" si="8"/>
        <v>1090780093.4400001</v>
      </c>
      <c r="G48" s="9">
        <f t="shared" si="8"/>
        <v>1156226899.0464001</v>
      </c>
      <c r="H48" s="9">
        <f t="shared" si="8"/>
        <v>1225600512.9891841</v>
      </c>
    </row>
    <row r="49" spans="1:8" ht="14.25" customHeight="1">
      <c r="A49" s="1" t="s">
        <v>74</v>
      </c>
      <c r="B49" s="9">
        <f t="shared" si="7"/>
        <v>720000000</v>
      </c>
      <c r="C49" s="9">
        <f t="shared" ref="C49:H49" si="9">B49*1.06</f>
        <v>763200000</v>
      </c>
      <c r="D49" s="9">
        <f t="shared" si="9"/>
        <v>808992000</v>
      </c>
      <c r="E49" s="9">
        <f t="shared" si="9"/>
        <v>857531520</v>
      </c>
      <c r="F49" s="9">
        <f t="shared" si="9"/>
        <v>908983411.20000005</v>
      </c>
      <c r="G49" s="9">
        <f t="shared" si="9"/>
        <v>963522415.8720001</v>
      </c>
      <c r="H49" s="9">
        <f t="shared" si="9"/>
        <v>1021333760.8243202</v>
      </c>
    </row>
    <row r="50" spans="1:8" ht="14.25" customHeight="1">
      <c r="A50" s="1" t="s">
        <v>75</v>
      </c>
      <c r="B50" s="9">
        <f t="shared" ref="B50:H50" si="10">B48/12</f>
        <v>72000000</v>
      </c>
      <c r="C50" s="9">
        <f t="shared" si="10"/>
        <v>76320000</v>
      </c>
      <c r="D50" s="9">
        <f t="shared" si="10"/>
        <v>80899200</v>
      </c>
      <c r="E50" s="9">
        <f t="shared" si="10"/>
        <v>85753152</v>
      </c>
      <c r="F50" s="9">
        <f t="shared" si="10"/>
        <v>90898341.120000005</v>
      </c>
      <c r="G50" s="9">
        <f t="shared" si="10"/>
        <v>96352241.587200001</v>
      </c>
      <c r="H50" s="9">
        <f t="shared" si="10"/>
        <v>102133376.08243202</v>
      </c>
    </row>
    <row r="51" spans="1:8" ht="14.25" customHeight="1">
      <c r="A51" s="1" t="s">
        <v>76</v>
      </c>
      <c r="B51" s="9">
        <f t="shared" ref="B51:H51" si="11">B49/12</f>
        <v>60000000</v>
      </c>
      <c r="C51" s="9">
        <f t="shared" si="11"/>
        <v>63600000</v>
      </c>
      <c r="D51" s="9">
        <f t="shared" si="11"/>
        <v>67416000</v>
      </c>
      <c r="E51" s="9">
        <f t="shared" si="11"/>
        <v>71460960</v>
      </c>
      <c r="F51" s="9">
        <f t="shared" si="11"/>
        <v>75748617.600000009</v>
      </c>
      <c r="G51" s="9">
        <f t="shared" si="11"/>
        <v>80293534.656000003</v>
      </c>
      <c r="H51" s="9">
        <f t="shared" si="11"/>
        <v>85111146.735360011</v>
      </c>
    </row>
    <row r="52" spans="1:8" ht="14.25" customHeight="1">
      <c r="A52" s="1" t="s">
        <v>77</v>
      </c>
      <c r="B52" s="32">
        <f>B5/B4</f>
        <v>7.4999999999999997E-3</v>
      </c>
      <c r="C52" s="32">
        <f t="shared" ref="C52:H52" si="12">B52</f>
        <v>7.4999999999999997E-3</v>
      </c>
      <c r="D52" s="32">
        <f t="shared" si="12"/>
        <v>7.4999999999999997E-3</v>
      </c>
      <c r="E52" s="32">
        <f t="shared" si="12"/>
        <v>7.4999999999999997E-3</v>
      </c>
      <c r="F52" s="32">
        <f t="shared" si="12"/>
        <v>7.4999999999999997E-3</v>
      </c>
      <c r="G52" s="32">
        <f t="shared" si="12"/>
        <v>7.4999999999999997E-3</v>
      </c>
      <c r="H52" s="32">
        <f t="shared" si="12"/>
        <v>7.4999999999999997E-3</v>
      </c>
    </row>
    <row r="53" spans="1:8" ht="14.25" customHeight="1">
      <c r="A53" s="1" t="s">
        <v>78</v>
      </c>
      <c r="B53" s="9">
        <f t="shared" ref="B53:H53" si="13">B48*B52</f>
        <v>6480000</v>
      </c>
      <c r="C53" s="9">
        <f t="shared" si="13"/>
        <v>6868800</v>
      </c>
      <c r="D53" s="9">
        <f t="shared" si="13"/>
        <v>7280928</v>
      </c>
      <c r="E53" s="9">
        <f t="shared" si="13"/>
        <v>7717783.6799999997</v>
      </c>
      <c r="F53" s="9">
        <f t="shared" si="13"/>
        <v>8180850.7007999998</v>
      </c>
      <c r="G53" s="9">
        <f t="shared" si="13"/>
        <v>8671701.7428479996</v>
      </c>
      <c r="H53" s="9">
        <f t="shared" si="13"/>
        <v>9192003.8474188801</v>
      </c>
    </row>
    <row r="54" spans="1:8" ht="14.25" customHeight="1">
      <c r="A54" s="1" t="s">
        <v>79</v>
      </c>
      <c r="B54" s="9">
        <f t="shared" ref="B54:H54" si="14">B49*B52</f>
        <v>5400000</v>
      </c>
      <c r="C54" s="9">
        <f t="shared" si="14"/>
        <v>5724000</v>
      </c>
      <c r="D54" s="9">
        <f t="shared" si="14"/>
        <v>6067440</v>
      </c>
      <c r="E54" s="9">
        <f t="shared" si="14"/>
        <v>6431486.3999999994</v>
      </c>
      <c r="F54" s="9">
        <f t="shared" si="14"/>
        <v>6817375.5839999998</v>
      </c>
      <c r="G54" s="9">
        <f t="shared" si="14"/>
        <v>7226418.1190400003</v>
      </c>
      <c r="H54" s="9">
        <f t="shared" si="14"/>
        <v>7660003.2061824016</v>
      </c>
    </row>
    <row r="55" spans="1:8" ht="14.25" customHeight="1">
      <c r="A55" s="1" t="s">
        <v>80</v>
      </c>
      <c r="B55" s="9">
        <f t="shared" ref="B55:H55" si="15">B53/12</f>
        <v>540000</v>
      </c>
      <c r="C55" s="9">
        <f t="shared" si="15"/>
        <v>572400</v>
      </c>
      <c r="D55" s="9">
        <f t="shared" si="15"/>
        <v>606744</v>
      </c>
      <c r="E55" s="9">
        <f t="shared" si="15"/>
        <v>643148.64</v>
      </c>
      <c r="F55" s="9">
        <f t="shared" si="15"/>
        <v>681737.55839999998</v>
      </c>
      <c r="G55" s="9">
        <f t="shared" si="15"/>
        <v>722641.811904</v>
      </c>
      <c r="H55" s="9">
        <f t="shared" si="15"/>
        <v>766000.32061824005</v>
      </c>
    </row>
    <row r="56" spans="1:8" ht="14.25" customHeight="1">
      <c r="A56" s="1" t="s">
        <v>81</v>
      </c>
      <c r="B56" s="9">
        <f t="shared" ref="B56:H56" si="16">B54/12</f>
        <v>450000</v>
      </c>
      <c r="C56" s="9">
        <f t="shared" si="16"/>
        <v>477000</v>
      </c>
      <c r="D56" s="9">
        <f t="shared" si="16"/>
        <v>505620</v>
      </c>
      <c r="E56" s="9">
        <f t="shared" si="16"/>
        <v>535957.19999999995</v>
      </c>
      <c r="F56" s="9">
        <f t="shared" si="16"/>
        <v>568114.63199999998</v>
      </c>
      <c r="G56" s="9">
        <f t="shared" si="16"/>
        <v>602201.50991999998</v>
      </c>
      <c r="H56" s="9">
        <f t="shared" si="16"/>
        <v>638333.60051520017</v>
      </c>
    </row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7">
    <mergeCell ref="A46:H46"/>
    <mergeCell ref="A2:H2"/>
    <mergeCell ref="E4:F4"/>
    <mergeCell ref="A22:B22"/>
    <mergeCell ref="C22:D22"/>
    <mergeCell ref="E22:F22"/>
    <mergeCell ref="G22:H2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W102"/>
  <sheetViews>
    <sheetView zoomScale="70" zoomScaleNormal="70" workbookViewId="0">
      <selection activeCell="C26" sqref="C26"/>
    </sheetView>
  </sheetViews>
  <sheetFormatPr baseColWidth="10" defaultColWidth="14.44140625" defaultRowHeight="15" customHeight="1"/>
  <cols>
    <col min="1" max="1" width="14.109375" customWidth="1"/>
    <col min="2" max="24" width="27.33203125" customWidth="1"/>
  </cols>
  <sheetData>
    <row r="2" spans="2:9">
      <c r="B2" s="62" t="s">
        <v>48</v>
      </c>
      <c r="C2" s="63"/>
      <c r="D2" s="63"/>
      <c r="E2" s="63"/>
      <c r="F2" s="63"/>
      <c r="G2" s="63"/>
      <c r="H2" s="63"/>
      <c r="I2" s="64"/>
    </row>
    <row r="4" spans="2:9">
      <c r="B4" s="65" t="s">
        <v>49</v>
      </c>
      <c r="C4" s="64"/>
      <c r="E4" s="1" t="s">
        <v>1</v>
      </c>
      <c r="F4" s="33">
        <v>100</v>
      </c>
    </row>
    <row r="5" spans="2:9">
      <c r="B5" s="18" t="s">
        <v>14</v>
      </c>
      <c r="C5" s="19">
        <v>1</v>
      </c>
      <c r="E5" s="1" t="s">
        <v>50</v>
      </c>
      <c r="F5" s="17">
        <v>0.75</v>
      </c>
    </row>
    <row r="6" spans="2:9">
      <c r="B6" s="21" t="s">
        <v>52</v>
      </c>
      <c r="C6" s="17">
        <v>0</v>
      </c>
      <c r="E6" s="1" t="s">
        <v>2</v>
      </c>
      <c r="F6" s="20" t="s">
        <v>51</v>
      </c>
    </row>
    <row r="7" spans="2:9">
      <c r="B7" s="1" t="s">
        <v>53</v>
      </c>
      <c r="C7" s="22">
        <v>45000000</v>
      </c>
      <c r="E7" s="1" t="s">
        <v>4</v>
      </c>
      <c r="F7" s="20">
        <v>1429</v>
      </c>
    </row>
    <row r="8" spans="2:9">
      <c r="B8" s="23" t="s">
        <v>54</v>
      </c>
      <c r="C8" s="24">
        <f>C7-(C7*C6)</f>
        <v>45000000</v>
      </c>
      <c r="E8" s="25" t="s">
        <v>157</v>
      </c>
      <c r="F8" s="7">
        <v>120000</v>
      </c>
    </row>
    <row r="9" spans="2:9">
      <c r="B9" s="23" t="s">
        <v>56</v>
      </c>
      <c r="C9" s="24">
        <f>C5*C8</f>
        <v>45000000</v>
      </c>
      <c r="E9" s="25" t="s">
        <v>58</v>
      </c>
      <c r="F9" s="7">
        <v>20000</v>
      </c>
    </row>
    <row r="10" spans="2:9">
      <c r="B10" s="26" t="s">
        <v>57</v>
      </c>
      <c r="C10" s="24">
        <f>(C7*C5)-C9</f>
        <v>0</v>
      </c>
      <c r="E10" s="1" t="s">
        <v>7</v>
      </c>
      <c r="F10" s="77">
        <v>496.39</v>
      </c>
    </row>
    <row r="11" spans="2:9">
      <c r="B11" s="21" t="s">
        <v>59</v>
      </c>
      <c r="C11" s="27">
        <f>C12*12</f>
        <v>9.9278000000000005E-2</v>
      </c>
      <c r="E11" s="1" t="s">
        <v>53</v>
      </c>
      <c r="F11" s="22">
        <v>45000000</v>
      </c>
    </row>
    <row r="12" spans="2:9">
      <c r="B12" s="21" t="s">
        <v>60</v>
      </c>
      <c r="C12" s="27">
        <f>C14/C8</f>
        <v>8.2731666666666665E-3</v>
      </c>
    </row>
    <row r="13" spans="2:9">
      <c r="B13" s="26" t="s">
        <v>61</v>
      </c>
      <c r="C13" s="24">
        <f>C14*12</f>
        <v>4467510</v>
      </c>
    </row>
    <row r="14" spans="2:9">
      <c r="B14" s="29" t="s">
        <v>62</v>
      </c>
      <c r="C14" s="34">
        <f>C29</f>
        <v>372292.5</v>
      </c>
    </row>
    <row r="15" spans="2:9">
      <c r="B15" s="26" t="s">
        <v>63</v>
      </c>
      <c r="C15" s="24">
        <f>C13*C5</f>
        <v>4467510</v>
      </c>
    </row>
    <row r="16" spans="2:9">
      <c r="B16" s="29" t="s">
        <v>64</v>
      </c>
      <c r="C16" s="24">
        <f>C14*C5</f>
        <v>372292.5</v>
      </c>
    </row>
    <row r="19" spans="2:23">
      <c r="B19" s="67" t="s">
        <v>38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1"/>
    </row>
    <row r="20" spans="2:23">
      <c r="B20" s="15" t="s">
        <v>39</v>
      </c>
      <c r="C20" s="15" t="s">
        <v>40</v>
      </c>
      <c r="D20" s="15" t="s">
        <v>72</v>
      </c>
      <c r="E20" s="15" t="s">
        <v>42</v>
      </c>
      <c r="F20" s="15" t="s">
        <v>43</v>
      </c>
      <c r="G20" s="15" t="s">
        <v>44</v>
      </c>
      <c r="H20" s="15" t="s">
        <v>45</v>
      </c>
      <c r="I20" s="15" t="s">
        <v>46</v>
      </c>
      <c r="J20" s="15" t="s">
        <v>82</v>
      </c>
      <c r="K20" s="15" t="s">
        <v>83</v>
      </c>
      <c r="L20" s="15" t="s">
        <v>84</v>
      </c>
      <c r="M20" s="15" t="s">
        <v>85</v>
      </c>
      <c r="N20" s="15" t="s">
        <v>86</v>
      </c>
      <c r="O20" s="15" t="s">
        <v>87</v>
      </c>
      <c r="P20" s="15" t="s">
        <v>88</v>
      </c>
      <c r="Q20" s="15" t="s">
        <v>89</v>
      </c>
      <c r="R20" s="15" t="s">
        <v>90</v>
      </c>
      <c r="S20" s="15" t="s">
        <v>91</v>
      </c>
      <c r="T20" s="15" t="s">
        <v>92</v>
      </c>
      <c r="U20" s="15" t="s">
        <v>93</v>
      </c>
      <c r="V20" s="15" t="s">
        <v>94</v>
      </c>
      <c r="W20" s="15" t="s">
        <v>95</v>
      </c>
    </row>
    <row r="21" spans="2:23">
      <c r="B21" s="1" t="s">
        <v>73</v>
      </c>
      <c r="C21" s="9">
        <f>C23*12</f>
        <v>714801600</v>
      </c>
      <c r="D21" s="9">
        <f t="shared" ref="D21:W21" si="0">C21*1.06</f>
        <v>757689696</v>
      </c>
      <c r="E21" s="9">
        <f t="shared" si="0"/>
        <v>803151077.75999999</v>
      </c>
      <c r="F21" s="9">
        <f t="shared" si="0"/>
        <v>851340142.42560005</v>
      </c>
      <c r="G21" s="9">
        <f t="shared" si="0"/>
        <v>902420550.97113609</v>
      </c>
      <c r="H21" s="9">
        <f t="shared" si="0"/>
        <v>956565784.02940428</v>
      </c>
      <c r="I21" s="9">
        <f t="shared" si="0"/>
        <v>1013959731.0711685</v>
      </c>
      <c r="J21" s="9">
        <f t="shared" si="0"/>
        <v>1074797314.9354386</v>
      </c>
      <c r="K21" s="9">
        <f t="shared" si="0"/>
        <v>1139285153.8315649</v>
      </c>
      <c r="L21" s="9">
        <f t="shared" si="0"/>
        <v>1207642263.0614588</v>
      </c>
      <c r="M21" s="9">
        <f t="shared" si="0"/>
        <v>1280100798.8451464</v>
      </c>
      <c r="N21" s="9">
        <f t="shared" si="0"/>
        <v>1356906846.7758553</v>
      </c>
      <c r="O21" s="9">
        <f t="shared" si="0"/>
        <v>1438321257.5824068</v>
      </c>
      <c r="P21" s="9">
        <f t="shared" si="0"/>
        <v>1524620533.0373511</v>
      </c>
      <c r="Q21" s="9">
        <f t="shared" si="0"/>
        <v>1616097765.0195923</v>
      </c>
      <c r="R21" s="9">
        <f t="shared" si="0"/>
        <v>1713063630.920768</v>
      </c>
      <c r="S21" s="9">
        <f t="shared" si="0"/>
        <v>1815847448.7760141</v>
      </c>
      <c r="T21" s="9">
        <f t="shared" si="0"/>
        <v>1924798295.702575</v>
      </c>
      <c r="U21" s="9">
        <f t="shared" si="0"/>
        <v>2040286193.4447296</v>
      </c>
      <c r="V21" s="9">
        <f t="shared" si="0"/>
        <v>2162703365.0514135</v>
      </c>
      <c r="W21" s="9">
        <f t="shared" si="0"/>
        <v>2292465566.9544983</v>
      </c>
    </row>
    <row r="22" spans="2:23" ht="14.4">
      <c r="B22" s="1" t="s">
        <v>74</v>
      </c>
      <c r="C22" s="9">
        <f>C24*12</f>
        <v>595668000</v>
      </c>
      <c r="D22" s="9">
        <f t="shared" ref="D22:W22" si="1">C22*1.06</f>
        <v>631408080</v>
      </c>
      <c r="E22" s="9">
        <f t="shared" si="1"/>
        <v>669292564.80000007</v>
      </c>
      <c r="F22" s="9">
        <f t="shared" si="1"/>
        <v>709450118.68800008</v>
      </c>
      <c r="G22" s="9">
        <f t="shared" si="1"/>
        <v>752017125.80928016</v>
      </c>
      <c r="H22" s="9">
        <f t="shared" si="1"/>
        <v>797138153.35783696</v>
      </c>
      <c r="I22" s="9">
        <f t="shared" si="1"/>
        <v>844966442.55930722</v>
      </c>
      <c r="J22" s="9">
        <f t="shared" si="1"/>
        <v>895664429.11286569</v>
      </c>
      <c r="K22" s="9">
        <f t="shared" si="1"/>
        <v>949404294.85963762</v>
      </c>
      <c r="L22" s="9">
        <f t="shared" si="1"/>
        <v>1006368552.5512159</v>
      </c>
      <c r="M22" s="9">
        <f t="shared" si="1"/>
        <v>1066750665.7042888</v>
      </c>
      <c r="N22" s="9">
        <f t="shared" si="1"/>
        <v>1130755705.6465461</v>
      </c>
      <c r="O22" s="9">
        <f t="shared" si="1"/>
        <v>1198601047.9853389</v>
      </c>
      <c r="P22" s="9">
        <f t="shared" si="1"/>
        <v>1270517110.8644593</v>
      </c>
      <c r="Q22" s="9">
        <f t="shared" si="1"/>
        <v>1346748137.5163269</v>
      </c>
      <c r="R22" s="9">
        <f t="shared" si="1"/>
        <v>1427553025.7673066</v>
      </c>
      <c r="S22" s="9">
        <f t="shared" si="1"/>
        <v>1513206207.313345</v>
      </c>
      <c r="T22" s="9">
        <f t="shared" si="1"/>
        <v>1603998579.7521458</v>
      </c>
      <c r="U22" s="9">
        <f t="shared" si="1"/>
        <v>1700238494.5372746</v>
      </c>
      <c r="V22" s="9">
        <f t="shared" si="1"/>
        <v>1802252804.2095113</v>
      </c>
      <c r="W22" s="9">
        <f t="shared" si="1"/>
        <v>1910387972.4620821</v>
      </c>
    </row>
    <row r="23" spans="2:23" ht="14.4">
      <c r="B23" s="1" t="s">
        <v>75</v>
      </c>
      <c r="C23" s="9">
        <f>F8*F10</f>
        <v>59566800</v>
      </c>
      <c r="D23" s="9">
        <f>D21/12</f>
        <v>63140808</v>
      </c>
      <c r="E23" s="9">
        <f>E21/12</f>
        <v>66929256.479999997</v>
      </c>
      <c r="F23" s="9">
        <f>F21/12</f>
        <v>70945011.868799999</v>
      </c>
      <c r="G23" s="9">
        <f>G21/12</f>
        <v>75201712.580928013</v>
      </c>
      <c r="H23" s="9">
        <f>H21/12</f>
        <v>79713815.33578369</v>
      </c>
      <c r="I23" s="9">
        <f>I21/12</f>
        <v>84496644.255930707</v>
      </c>
      <c r="J23" s="9">
        <f>J21/12</f>
        <v>89566442.911286548</v>
      </c>
      <c r="K23" s="9">
        <f>K21/12</f>
        <v>94940429.485963747</v>
      </c>
      <c r="L23" s="9">
        <f>L21/12</f>
        <v>100636855.25512157</v>
      </c>
      <c r="M23" s="9">
        <f>M21/12</f>
        <v>106675066.57042886</v>
      </c>
      <c r="N23" s="9">
        <f>N21/12</f>
        <v>113075570.5646546</v>
      </c>
      <c r="O23" s="9">
        <f>O21/12</f>
        <v>119860104.7985339</v>
      </c>
      <c r="P23" s="9">
        <f>P21/12</f>
        <v>127051711.08644593</v>
      </c>
      <c r="Q23" s="9">
        <f>Q21/12</f>
        <v>134674813.75163269</v>
      </c>
      <c r="R23" s="9">
        <f>R21/12</f>
        <v>142755302.57673067</v>
      </c>
      <c r="S23" s="9">
        <f>S21/12</f>
        <v>151320620.73133451</v>
      </c>
      <c r="T23" s="9">
        <f>T21/12</f>
        <v>160399857.97521457</v>
      </c>
      <c r="U23" s="9">
        <f>U21/12</f>
        <v>170023849.45372745</v>
      </c>
      <c r="V23" s="9">
        <f>V21/12</f>
        <v>180225280.42095113</v>
      </c>
      <c r="W23" s="9">
        <f>W21/12</f>
        <v>191038797.24620819</v>
      </c>
    </row>
    <row r="24" spans="2:23" ht="14.4">
      <c r="B24" s="1" t="s">
        <v>76</v>
      </c>
      <c r="C24" s="22">
        <f>(F8-F9)*F10</f>
        <v>49639000</v>
      </c>
      <c r="D24" s="9">
        <f>D22/12</f>
        <v>52617340</v>
      </c>
      <c r="E24" s="9">
        <f>E22/12</f>
        <v>55774380.400000006</v>
      </c>
      <c r="F24" s="9">
        <f>F22/12</f>
        <v>59120843.224000007</v>
      </c>
      <c r="G24" s="9">
        <f>G22/12</f>
        <v>62668093.817440011</v>
      </c>
      <c r="H24" s="9">
        <f>H22/12</f>
        <v>66428179.446486413</v>
      </c>
      <c r="I24" s="9">
        <f>I22/12</f>
        <v>70413870.213275596</v>
      </c>
      <c r="J24" s="9">
        <f>J22/12</f>
        <v>74638702.426072136</v>
      </c>
      <c r="K24" s="9">
        <f>K22/12</f>
        <v>79117024.571636468</v>
      </c>
      <c r="L24" s="9">
        <f>L22/12</f>
        <v>83864046.045934662</v>
      </c>
      <c r="M24" s="9">
        <f>M22/12</f>
        <v>88895888.808690742</v>
      </c>
      <c r="N24" s="9">
        <f>N22/12</f>
        <v>94229642.137212172</v>
      </c>
      <c r="O24" s="9">
        <f>O22/12</f>
        <v>99883420.665444911</v>
      </c>
      <c r="P24" s="9">
        <f>P22/12</f>
        <v>105876425.90537161</v>
      </c>
      <c r="Q24" s="9">
        <f>Q22/12</f>
        <v>112229011.45969391</v>
      </c>
      <c r="R24" s="9">
        <f>R22/12</f>
        <v>118962752.14727555</v>
      </c>
      <c r="S24" s="9">
        <f>S22/12</f>
        <v>126100517.27611208</v>
      </c>
      <c r="T24" s="9">
        <f>T22/12</f>
        <v>133666548.31267881</v>
      </c>
      <c r="U24" s="9">
        <f>U22/12</f>
        <v>141686541.21143955</v>
      </c>
      <c r="V24" s="9">
        <f>V22/12</f>
        <v>150187733.68412593</v>
      </c>
      <c r="W24" s="9">
        <f>W22/12</f>
        <v>159198997.70517352</v>
      </c>
    </row>
    <row r="25" spans="2:23">
      <c r="B25" s="1" t="s">
        <v>77</v>
      </c>
      <c r="C25" s="35">
        <v>7.4999999999999997E-3</v>
      </c>
      <c r="D25" s="32">
        <f t="shared" ref="D25:W25" si="2">C25</f>
        <v>7.4999999999999997E-3</v>
      </c>
      <c r="E25" s="32">
        <f t="shared" si="2"/>
        <v>7.4999999999999997E-3</v>
      </c>
      <c r="F25" s="32">
        <f t="shared" si="2"/>
        <v>7.4999999999999997E-3</v>
      </c>
      <c r="G25" s="32">
        <f t="shared" si="2"/>
        <v>7.4999999999999997E-3</v>
      </c>
      <c r="H25" s="32">
        <f t="shared" si="2"/>
        <v>7.4999999999999997E-3</v>
      </c>
      <c r="I25" s="32">
        <f t="shared" si="2"/>
        <v>7.4999999999999997E-3</v>
      </c>
      <c r="J25" s="32">
        <f t="shared" si="2"/>
        <v>7.4999999999999997E-3</v>
      </c>
      <c r="K25" s="32">
        <f t="shared" si="2"/>
        <v>7.4999999999999997E-3</v>
      </c>
      <c r="L25" s="32">
        <f t="shared" si="2"/>
        <v>7.4999999999999997E-3</v>
      </c>
      <c r="M25" s="32">
        <f t="shared" si="2"/>
        <v>7.4999999999999997E-3</v>
      </c>
      <c r="N25" s="32">
        <f t="shared" si="2"/>
        <v>7.4999999999999997E-3</v>
      </c>
      <c r="O25" s="32">
        <f t="shared" si="2"/>
        <v>7.4999999999999997E-3</v>
      </c>
      <c r="P25" s="32">
        <f t="shared" si="2"/>
        <v>7.4999999999999997E-3</v>
      </c>
      <c r="Q25" s="32">
        <f t="shared" si="2"/>
        <v>7.4999999999999997E-3</v>
      </c>
      <c r="R25" s="32">
        <f t="shared" si="2"/>
        <v>7.4999999999999997E-3</v>
      </c>
      <c r="S25" s="32">
        <f t="shared" si="2"/>
        <v>7.4999999999999997E-3</v>
      </c>
      <c r="T25" s="32">
        <f t="shared" si="2"/>
        <v>7.4999999999999997E-3</v>
      </c>
      <c r="U25" s="32">
        <f t="shared" si="2"/>
        <v>7.4999999999999997E-3</v>
      </c>
      <c r="V25" s="32">
        <f t="shared" si="2"/>
        <v>7.4999999999999997E-3</v>
      </c>
      <c r="W25" s="32">
        <f t="shared" si="2"/>
        <v>7.4999999999999997E-3</v>
      </c>
    </row>
    <row r="26" spans="2:23">
      <c r="B26" s="1" t="s">
        <v>78</v>
      </c>
      <c r="C26" s="9">
        <f>C21*C25</f>
        <v>5361012</v>
      </c>
      <c r="D26" s="9">
        <f>D21*D25</f>
        <v>5682672.7199999997</v>
      </c>
      <c r="E26" s="9">
        <f>E21*E25</f>
        <v>6023633.0831999993</v>
      </c>
      <c r="F26" s="9">
        <f>F21*F25</f>
        <v>6385051.0681920005</v>
      </c>
      <c r="G26" s="9">
        <f>G21*G25</f>
        <v>6768154.1322835209</v>
      </c>
      <c r="H26" s="9">
        <f>H21*H25</f>
        <v>7174243.3802205315</v>
      </c>
      <c r="I26" s="9">
        <f>I21*I25</f>
        <v>7604697.9830337642</v>
      </c>
      <c r="J26" s="9">
        <f>J21*J25</f>
        <v>8060979.8620157894</v>
      </c>
      <c r="K26" s="9">
        <f>K21*K25</f>
        <v>8544638.6537367366</v>
      </c>
      <c r="L26" s="9">
        <f>L21*L25</f>
        <v>9057316.9729609415</v>
      </c>
      <c r="M26" s="9">
        <f>M21*M25</f>
        <v>9600755.9913385976</v>
      </c>
      <c r="N26" s="9">
        <f>N21*N25</f>
        <v>10176801.350818915</v>
      </c>
      <c r="O26" s="9">
        <f>O21*O25</f>
        <v>10787409.43186805</v>
      </c>
      <c r="P26" s="9">
        <f>P21*P25</f>
        <v>11434653.997780133</v>
      </c>
      <c r="Q26" s="9">
        <f>Q21*Q25</f>
        <v>12120733.237646941</v>
      </c>
      <c r="R26" s="9">
        <f>R21*R25</f>
        <v>12847977.23190576</v>
      </c>
      <c r="S26" s="9">
        <f>S21*S25</f>
        <v>13618855.865820104</v>
      </c>
      <c r="T26" s="9">
        <f>T21*T25</f>
        <v>14435987.217769312</v>
      </c>
      <c r="U26" s="9">
        <f>U21*U25</f>
        <v>15302146.450835472</v>
      </c>
      <c r="V26" s="9">
        <f>V21*V25</f>
        <v>16220275.237885602</v>
      </c>
      <c r="W26" s="9">
        <f>W21*W25</f>
        <v>17193491.752158735</v>
      </c>
    </row>
    <row r="27" spans="2:23" ht="14.4">
      <c r="B27" s="1" t="s">
        <v>79</v>
      </c>
      <c r="C27" s="9">
        <f>C22*C25</f>
        <v>4467510</v>
      </c>
      <c r="D27" s="9">
        <f>D22*D25</f>
        <v>4735560.5999999996</v>
      </c>
      <c r="E27" s="9">
        <f>E22*E25</f>
        <v>5019694.2360000005</v>
      </c>
      <c r="F27" s="9">
        <f>F22*F25</f>
        <v>5320875.8901600009</v>
      </c>
      <c r="G27" s="9">
        <f>G22*G25</f>
        <v>5640128.4435696006</v>
      </c>
      <c r="H27" s="9">
        <f>H22*H25</f>
        <v>5978536.1501837773</v>
      </c>
      <c r="I27" s="9">
        <f>I22*I25</f>
        <v>6337248.3191948039</v>
      </c>
      <c r="J27" s="9">
        <f>J22*J25</f>
        <v>6717483.2183464924</v>
      </c>
      <c r="K27" s="9">
        <f>K22*K25</f>
        <v>7120532.2114472818</v>
      </c>
      <c r="L27" s="9">
        <f>L22*L25</f>
        <v>7547764.1441341192</v>
      </c>
      <c r="M27" s="9">
        <f>M22*M25</f>
        <v>8000629.9927821662</v>
      </c>
      <c r="N27" s="9">
        <f>N22*N25</f>
        <v>8480667.7923490964</v>
      </c>
      <c r="O27" s="9">
        <f>O22*O25</f>
        <v>8989507.8598900419</v>
      </c>
      <c r="P27" s="9">
        <f>P22*P25</f>
        <v>9528878.3314834442</v>
      </c>
      <c r="Q27" s="9">
        <f>Q22*Q25</f>
        <v>10100611.031372452</v>
      </c>
      <c r="R27" s="9">
        <f>R22*R25</f>
        <v>10706647.693254799</v>
      </c>
      <c r="S27" s="9">
        <f>S22*S25</f>
        <v>11349046.554850087</v>
      </c>
      <c r="T27" s="9">
        <f>T22*T25</f>
        <v>12029989.348141093</v>
      </c>
      <c r="U27" s="9">
        <f>U22*U25</f>
        <v>12751788.709029559</v>
      </c>
      <c r="V27" s="9">
        <f>V22*V25</f>
        <v>13516896.031571334</v>
      </c>
      <c r="W27" s="9">
        <f>W22*W25</f>
        <v>14327909.793465616</v>
      </c>
    </row>
    <row r="28" spans="2:23">
      <c r="B28" s="1" t="s">
        <v>80</v>
      </c>
      <c r="C28" s="9">
        <f>C26/12</f>
        <v>446751</v>
      </c>
      <c r="D28" s="9">
        <f>D26/12</f>
        <v>473556.06</v>
      </c>
      <c r="E28" s="9">
        <f>E26/12</f>
        <v>501969.42359999992</v>
      </c>
      <c r="F28" s="9">
        <f>F26/12</f>
        <v>532087.58901600004</v>
      </c>
      <c r="G28" s="9">
        <f>G26/12</f>
        <v>564012.84435696003</v>
      </c>
      <c r="H28" s="9">
        <f>H26/12</f>
        <v>597853.61501837766</v>
      </c>
      <c r="I28" s="9">
        <f>I26/12</f>
        <v>633724.83191948035</v>
      </c>
      <c r="J28" s="9">
        <f>J26/12</f>
        <v>671748.32183464908</v>
      </c>
      <c r="K28" s="9">
        <f>K26/12</f>
        <v>712053.22114472801</v>
      </c>
      <c r="L28" s="9">
        <f>L26/12</f>
        <v>754776.41441341175</v>
      </c>
      <c r="M28" s="9">
        <f>M26/12</f>
        <v>800062.99927821651</v>
      </c>
      <c r="N28" s="9">
        <f>N26/12</f>
        <v>848066.77923490957</v>
      </c>
      <c r="O28" s="9">
        <f>O26/12</f>
        <v>898950.78598900419</v>
      </c>
      <c r="P28" s="9">
        <f>P26/12</f>
        <v>952887.83314834442</v>
      </c>
      <c r="Q28" s="9">
        <f>Q26/12</f>
        <v>1010061.1031372451</v>
      </c>
      <c r="R28" s="9">
        <f>R26/12</f>
        <v>1070664.7693254801</v>
      </c>
      <c r="S28" s="9">
        <f>S26/12</f>
        <v>1134904.6554850086</v>
      </c>
      <c r="T28" s="9">
        <f>T26/12</f>
        <v>1202998.9348141092</v>
      </c>
      <c r="U28" s="9">
        <f>U26/12</f>
        <v>1275178.870902956</v>
      </c>
      <c r="V28" s="9">
        <f>V26/12</f>
        <v>1351689.6031571336</v>
      </c>
      <c r="W28" s="9">
        <f>W26/12</f>
        <v>1432790.9793465612</v>
      </c>
    </row>
    <row r="29" spans="2:23" ht="14.4">
      <c r="B29" s="1" t="s">
        <v>81</v>
      </c>
      <c r="C29" s="9">
        <f>C27/12</f>
        <v>372292.5</v>
      </c>
      <c r="D29" s="9">
        <f>D27/12</f>
        <v>394630.05</v>
      </c>
      <c r="E29" s="9">
        <f>E27/12</f>
        <v>418307.85300000006</v>
      </c>
      <c r="F29" s="9">
        <f>F27/12</f>
        <v>443406.32418000005</v>
      </c>
      <c r="G29" s="9">
        <f>G27/12</f>
        <v>470010.70363080007</v>
      </c>
      <c r="H29" s="9">
        <f>H27/12</f>
        <v>498211.34584864811</v>
      </c>
      <c r="I29" s="9">
        <f>I27/12</f>
        <v>528104.02659956703</v>
      </c>
      <c r="J29" s="9">
        <f>J27/12</f>
        <v>559790.26819554099</v>
      </c>
      <c r="K29" s="9">
        <f>K27/12</f>
        <v>593377.68428727344</v>
      </c>
      <c r="L29" s="9">
        <f>L27/12</f>
        <v>628980.34534450993</v>
      </c>
      <c r="M29" s="9">
        <f>M27/12</f>
        <v>666719.16606518056</v>
      </c>
      <c r="N29" s="9">
        <f>N27/12</f>
        <v>706722.31602909137</v>
      </c>
      <c r="O29" s="9">
        <f>O27/12</f>
        <v>749125.65499083686</v>
      </c>
      <c r="P29" s="9">
        <f>P27/12</f>
        <v>794073.19429028698</v>
      </c>
      <c r="Q29" s="9">
        <f>Q27/12</f>
        <v>841717.58594770439</v>
      </c>
      <c r="R29" s="9">
        <f>R27/12</f>
        <v>892220.64110456652</v>
      </c>
      <c r="S29" s="9">
        <f>S27/12</f>
        <v>945753.87957084051</v>
      </c>
      <c r="T29" s="9">
        <f>T27/12</f>
        <v>1002499.1123450911</v>
      </c>
      <c r="U29" s="9">
        <f>U27/12</f>
        <v>1062649.0590857966</v>
      </c>
      <c r="V29" s="9">
        <f>V27/12</f>
        <v>1126408.0026309446</v>
      </c>
      <c r="W29" s="9">
        <f>W27/12</f>
        <v>1193992.4827888014</v>
      </c>
    </row>
    <row r="32" spans="2:23">
      <c r="B32" s="68" t="s">
        <v>96</v>
      </c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1"/>
    </row>
    <row r="33" spans="2:15">
      <c r="B33" s="36" t="s">
        <v>97</v>
      </c>
      <c r="C33" s="36" t="s">
        <v>98</v>
      </c>
      <c r="D33" s="36" t="s">
        <v>99</v>
      </c>
      <c r="E33" s="36" t="s">
        <v>100</v>
      </c>
      <c r="F33" s="36" t="s">
        <v>101</v>
      </c>
      <c r="G33" s="36" t="s">
        <v>102</v>
      </c>
      <c r="H33" s="36" t="s">
        <v>103</v>
      </c>
      <c r="I33" s="36" t="s">
        <v>104</v>
      </c>
      <c r="J33" s="36" t="s">
        <v>105</v>
      </c>
      <c r="K33" s="36" t="s">
        <v>106</v>
      </c>
      <c r="L33" s="36" t="s">
        <v>107</v>
      </c>
      <c r="M33" s="36" t="s">
        <v>108</v>
      </c>
      <c r="N33" s="36" t="s">
        <v>109</v>
      </c>
    </row>
    <row r="34" spans="2:15">
      <c r="B34" s="25" t="s">
        <v>110</v>
      </c>
      <c r="C34" s="37">
        <v>595.05999999999995</v>
      </c>
      <c r="D34" s="37">
        <v>617.86</v>
      </c>
      <c r="E34" s="37">
        <v>675.62</v>
      </c>
      <c r="F34" s="37">
        <v>881.59</v>
      </c>
      <c r="G34" s="37">
        <v>407.7</v>
      </c>
      <c r="H34" s="37">
        <v>424.82</v>
      </c>
      <c r="I34" s="37">
        <v>456.83</v>
      </c>
      <c r="J34" s="37">
        <v>647.05999999999995</v>
      </c>
      <c r="K34" s="37">
        <v>903.01</v>
      </c>
      <c r="L34" s="37">
        <v>2008.64</v>
      </c>
      <c r="M34" s="37">
        <v>1496.09</v>
      </c>
      <c r="N34" s="37">
        <v>889.21</v>
      </c>
      <c r="O34" s="38">
        <f>(AVERAGE(C34:N34))</f>
        <v>833.62416666666684</v>
      </c>
    </row>
    <row r="35" spans="2:15">
      <c r="B35" s="1" t="s">
        <v>75</v>
      </c>
      <c r="C35" s="9">
        <f t="shared" ref="C35:N35" si="3">120000*C34</f>
        <v>71407200</v>
      </c>
      <c r="D35" s="9">
        <f t="shared" si="3"/>
        <v>74143200</v>
      </c>
      <c r="E35" s="9">
        <f t="shared" si="3"/>
        <v>81074400</v>
      </c>
      <c r="F35" s="9">
        <f t="shared" si="3"/>
        <v>105790800</v>
      </c>
      <c r="G35" s="9">
        <f t="shared" si="3"/>
        <v>48924000</v>
      </c>
      <c r="H35" s="9">
        <f t="shared" si="3"/>
        <v>50978400</v>
      </c>
      <c r="I35" s="9">
        <f t="shared" si="3"/>
        <v>54819600</v>
      </c>
      <c r="J35" s="9">
        <f t="shared" si="3"/>
        <v>77647200</v>
      </c>
      <c r="K35" s="9">
        <f t="shared" si="3"/>
        <v>108361200</v>
      </c>
      <c r="L35" s="9">
        <f t="shared" si="3"/>
        <v>241036800</v>
      </c>
      <c r="M35" s="9">
        <f t="shared" si="3"/>
        <v>179530800</v>
      </c>
      <c r="N35" s="9">
        <f t="shared" si="3"/>
        <v>106705200</v>
      </c>
    </row>
    <row r="36" spans="2:15">
      <c r="B36" s="1" t="s">
        <v>76</v>
      </c>
      <c r="C36" s="22">
        <f t="shared" ref="C36:N36" si="4">100000*C34</f>
        <v>59505999.999999993</v>
      </c>
      <c r="D36" s="22">
        <f t="shared" si="4"/>
        <v>61786000</v>
      </c>
      <c r="E36" s="22">
        <f t="shared" si="4"/>
        <v>67562000</v>
      </c>
      <c r="F36" s="22">
        <f t="shared" si="4"/>
        <v>88159000</v>
      </c>
      <c r="G36" s="22">
        <f t="shared" si="4"/>
        <v>40770000</v>
      </c>
      <c r="H36" s="22">
        <f t="shared" si="4"/>
        <v>42482000</v>
      </c>
      <c r="I36" s="22">
        <f t="shared" si="4"/>
        <v>45683000</v>
      </c>
      <c r="J36" s="22">
        <f t="shared" si="4"/>
        <v>64705999.999999993</v>
      </c>
      <c r="K36" s="22">
        <f t="shared" si="4"/>
        <v>90301000</v>
      </c>
      <c r="L36" s="22">
        <f t="shared" si="4"/>
        <v>200864000</v>
      </c>
      <c r="M36" s="22">
        <f t="shared" si="4"/>
        <v>149609000</v>
      </c>
      <c r="N36" s="22">
        <f t="shared" si="4"/>
        <v>88921000</v>
      </c>
    </row>
    <row r="37" spans="2:15">
      <c r="B37" s="1" t="s">
        <v>77</v>
      </c>
      <c r="C37" s="35">
        <v>7.4999999999999997E-3</v>
      </c>
      <c r="D37" s="32">
        <f t="shared" ref="D37:N37" si="5">C37</f>
        <v>7.4999999999999997E-3</v>
      </c>
      <c r="E37" s="32">
        <f t="shared" si="5"/>
        <v>7.4999999999999997E-3</v>
      </c>
      <c r="F37" s="32">
        <f t="shared" si="5"/>
        <v>7.4999999999999997E-3</v>
      </c>
      <c r="G37" s="32">
        <f t="shared" si="5"/>
        <v>7.4999999999999997E-3</v>
      </c>
      <c r="H37" s="32">
        <f t="shared" si="5"/>
        <v>7.4999999999999997E-3</v>
      </c>
      <c r="I37" s="32">
        <f t="shared" si="5"/>
        <v>7.4999999999999997E-3</v>
      </c>
      <c r="J37" s="32">
        <f t="shared" si="5"/>
        <v>7.4999999999999997E-3</v>
      </c>
      <c r="K37" s="32">
        <f t="shared" si="5"/>
        <v>7.4999999999999997E-3</v>
      </c>
      <c r="L37" s="32">
        <f t="shared" si="5"/>
        <v>7.4999999999999997E-3</v>
      </c>
      <c r="M37" s="32">
        <f t="shared" si="5"/>
        <v>7.4999999999999997E-3</v>
      </c>
      <c r="N37" s="32">
        <f t="shared" si="5"/>
        <v>7.4999999999999997E-3</v>
      </c>
    </row>
    <row r="38" spans="2:15">
      <c r="B38" s="1" t="s">
        <v>80</v>
      </c>
      <c r="C38" s="9">
        <f t="shared" ref="C38:N38" si="6">C35*C37</f>
        <v>535554</v>
      </c>
      <c r="D38" s="9">
        <f t="shared" si="6"/>
        <v>556074</v>
      </c>
      <c r="E38" s="9">
        <f t="shared" si="6"/>
        <v>608058</v>
      </c>
      <c r="F38" s="9">
        <f t="shared" si="6"/>
        <v>793431</v>
      </c>
      <c r="G38" s="9">
        <f t="shared" si="6"/>
        <v>366930</v>
      </c>
      <c r="H38" s="9">
        <f t="shared" si="6"/>
        <v>382338</v>
      </c>
      <c r="I38" s="9">
        <f t="shared" si="6"/>
        <v>411147</v>
      </c>
      <c r="J38" s="9">
        <f t="shared" si="6"/>
        <v>582354</v>
      </c>
      <c r="K38" s="9">
        <f t="shared" si="6"/>
        <v>812709</v>
      </c>
      <c r="L38" s="9">
        <f t="shared" si="6"/>
        <v>1807776</v>
      </c>
      <c r="M38" s="9">
        <f t="shared" si="6"/>
        <v>1346481</v>
      </c>
      <c r="N38" s="9">
        <f t="shared" si="6"/>
        <v>800289</v>
      </c>
    </row>
    <row r="39" spans="2:15">
      <c r="B39" s="1" t="s">
        <v>81</v>
      </c>
      <c r="C39" s="9">
        <f t="shared" ref="C39:N39" si="7">C36*C37</f>
        <v>446294.99999999994</v>
      </c>
      <c r="D39" s="9">
        <f t="shared" si="7"/>
        <v>463395</v>
      </c>
      <c r="E39" s="9">
        <f t="shared" si="7"/>
        <v>506715</v>
      </c>
      <c r="F39" s="9">
        <f t="shared" si="7"/>
        <v>661192.5</v>
      </c>
      <c r="G39" s="9">
        <f t="shared" si="7"/>
        <v>305775</v>
      </c>
      <c r="H39" s="9">
        <f t="shared" si="7"/>
        <v>318615</v>
      </c>
      <c r="I39" s="9">
        <f t="shared" si="7"/>
        <v>342622.5</v>
      </c>
      <c r="J39" s="9">
        <f t="shared" si="7"/>
        <v>485294.99999999994</v>
      </c>
      <c r="K39" s="9">
        <f t="shared" si="7"/>
        <v>677257.5</v>
      </c>
      <c r="L39" s="9">
        <f t="shared" si="7"/>
        <v>1506480</v>
      </c>
      <c r="M39" s="9">
        <f t="shared" si="7"/>
        <v>1122067.5</v>
      </c>
      <c r="N39" s="9">
        <f t="shared" si="7"/>
        <v>666907.5</v>
      </c>
    </row>
    <row r="40" spans="2:15">
      <c r="B40" s="25" t="s">
        <v>111</v>
      </c>
      <c r="C40" s="32">
        <f>C38/C8</f>
        <v>1.1901200000000001E-2</v>
      </c>
      <c r="D40" s="32">
        <f>D38/C8</f>
        <v>1.23572E-2</v>
      </c>
      <c r="E40" s="32">
        <f>E38/C8</f>
        <v>1.3512400000000001E-2</v>
      </c>
      <c r="F40" s="32">
        <f>F38/C8</f>
        <v>1.76318E-2</v>
      </c>
      <c r="G40" s="32">
        <f>G38/C8</f>
        <v>8.1539999999999998E-3</v>
      </c>
      <c r="H40" s="32">
        <f>H38/C8</f>
        <v>8.4963999999999994E-3</v>
      </c>
      <c r="I40" s="32">
        <f>I38/C8</f>
        <v>9.1365999999999999E-3</v>
      </c>
      <c r="J40" s="32">
        <f>J38/C8</f>
        <v>1.29412E-2</v>
      </c>
      <c r="K40" s="32">
        <f>K38/C8</f>
        <v>1.8060199999999998E-2</v>
      </c>
      <c r="L40" s="32">
        <f>L38/C8</f>
        <v>4.0172800000000002E-2</v>
      </c>
      <c r="M40" s="32">
        <f>M38/C8</f>
        <v>2.9921799999999998E-2</v>
      </c>
      <c r="N40" s="32">
        <f>N38/C8</f>
        <v>1.77842E-2</v>
      </c>
    </row>
    <row r="41" spans="2:15">
      <c r="B41" s="25" t="s">
        <v>112</v>
      </c>
      <c r="C41" s="32">
        <f>C39/C8</f>
        <v>9.9176666666666649E-3</v>
      </c>
      <c r="D41" s="32">
        <f>D39/C8</f>
        <v>1.0297666666666667E-2</v>
      </c>
      <c r="E41" s="32">
        <f>E39/C8</f>
        <v>1.1260333333333334E-2</v>
      </c>
      <c r="F41" s="32">
        <f>F39/C8</f>
        <v>1.4693166666666667E-2</v>
      </c>
      <c r="G41" s="32">
        <f>G39/C8</f>
        <v>6.7949999999999998E-3</v>
      </c>
      <c r="H41" s="32">
        <f>H39/C8</f>
        <v>7.0803333333333334E-3</v>
      </c>
      <c r="I41" s="32">
        <f>I39/C8</f>
        <v>7.6138333333333336E-3</v>
      </c>
      <c r="J41" s="32">
        <f>J39/C8</f>
        <v>1.0784333333333332E-2</v>
      </c>
      <c r="K41" s="32">
        <f>K39/C8</f>
        <v>1.5050166666666667E-2</v>
      </c>
      <c r="L41" s="32">
        <f>L39/C8</f>
        <v>3.3477333333333331E-2</v>
      </c>
      <c r="M41" s="32">
        <f>M39/C8</f>
        <v>2.4934833333333333E-2</v>
      </c>
      <c r="N41" s="32">
        <f>N39/C8</f>
        <v>1.4820166666666667E-2</v>
      </c>
      <c r="O41" s="30" t="s">
        <v>113</v>
      </c>
    </row>
    <row r="42" spans="2:15">
      <c r="B42" s="25" t="s">
        <v>114</v>
      </c>
      <c r="C42" s="39" t="s">
        <v>115</v>
      </c>
      <c r="D42" s="40">
        <f t="shared" ref="D42:N42" si="8">(D34/C34)</f>
        <v>1.0383154639868251</v>
      </c>
      <c r="E42" s="40">
        <f t="shared" si="8"/>
        <v>1.0934839607678115</v>
      </c>
      <c r="F42" s="40">
        <f t="shared" si="8"/>
        <v>1.3048607205233711</v>
      </c>
      <c r="G42" s="40">
        <f t="shared" si="8"/>
        <v>0.46245987363740509</v>
      </c>
      <c r="H42" s="40">
        <f t="shared" si="8"/>
        <v>1.0419916605347068</v>
      </c>
      <c r="I42" s="40">
        <f t="shared" si="8"/>
        <v>1.0753495598135681</v>
      </c>
      <c r="J42" s="40">
        <f t="shared" si="8"/>
        <v>1.4164131077205961</v>
      </c>
      <c r="K42" s="40">
        <f t="shared" si="8"/>
        <v>1.3955583717120514</v>
      </c>
      <c r="L42" s="40">
        <f t="shared" si="8"/>
        <v>2.2243828971993667</v>
      </c>
      <c r="M42" s="40">
        <f t="shared" si="8"/>
        <v>0.74482734586585941</v>
      </c>
      <c r="N42" s="40">
        <f t="shared" si="8"/>
        <v>0.59435595452145262</v>
      </c>
    </row>
    <row r="43" spans="2:15">
      <c r="B43" s="25" t="s">
        <v>116</v>
      </c>
      <c r="C43" s="9">
        <f t="shared" ref="C43:C44" si="9">SUM(C38:N38)</f>
        <v>9003141</v>
      </c>
    </row>
    <row r="44" spans="2:15">
      <c r="B44" s="25" t="s">
        <v>117</v>
      </c>
      <c r="C44" s="9">
        <f t="shared" si="9"/>
        <v>7502617.5</v>
      </c>
    </row>
    <row r="45" spans="2:15">
      <c r="C45" s="5"/>
    </row>
    <row r="48" spans="2:15">
      <c r="B48" s="68" t="s">
        <v>158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1"/>
    </row>
    <row r="49" spans="2:15">
      <c r="B49" s="36" t="s">
        <v>97</v>
      </c>
      <c r="C49" s="36" t="s">
        <v>98</v>
      </c>
      <c r="D49" s="36" t="s">
        <v>99</v>
      </c>
      <c r="E49" s="36" t="s">
        <v>100</v>
      </c>
      <c r="F49" s="36" t="s">
        <v>101</v>
      </c>
      <c r="G49" s="36" t="s">
        <v>102</v>
      </c>
      <c r="H49" s="36" t="s">
        <v>103</v>
      </c>
      <c r="I49" s="36" t="s">
        <v>104</v>
      </c>
      <c r="J49" s="36" t="s">
        <v>105</v>
      </c>
      <c r="K49" s="36" t="s">
        <v>106</v>
      </c>
      <c r="L49" s="36" t="s">
        <v>107</v>
      </c>
      <c r="M49" s="36" t="s">
        <v>108</v>
      </c>
      <c r="N49" s="36" t="s">
        <v>109</v>
      </c>
    </row>
    <row r="50" spans="2:15">
      <c r="B50" s="25" t="s">
        <v>110</v>
      </c>
      <c r="C50" s="37">
        <v>643.65483870967705</v>
      </c>
      <c r="D50" s="37">
        <v>625.32785714285717</v>
      </c>
      <c r="E50" s="37">
        <v>478.64387096774198</v>
      </c>
      <c r="F50" s="37">
        <v>369.01799999999997</v>
      </c>
      <c r="G50" s="37">
        <v>360.66225806451604</v>
      </c>
      <c r="H50" s="37">
        <v>182.51200000000009</v>
      </c>
      <c r="I50" s="37">
        <v>406.92064516129039</v>
      </c>
      <c r="J50" s="37">
        <v>724.94129032258058</v>
      </c>
      <c r="K50" s="37">
        <v>782.70699999999999</v>
      </c>
      <c r="L50" s="37">
        <v>423.68161290322593</v>
      </c>
      <c r="M50" s="37">
        <v>609.99166666666656</v>
      </c>
      <c r="N50" s="37">
        <v>348.59838709677422</v>
      </c>
      <c r="O50" s="37">
        <f>AVERAGE(C50:N50)</f>
        <v>496.3882855862775</v>
      </c>
    </row>
    <row r="51" spans="2:15">
      <c r="B51" s="1" t="s">
        <v>75</v>
      </c>
      <c r="C51" s="9">
        <f t="shared" ref="C51:N51" si="10">120000*C50</f>
        <v>77238580.645161241</v>
      </c>
      <c r="D51" s="9">
        <f t="shared" si="10"/>
        <v>75039342.857142866</v>
      </c>
      <c r="E51" s="9">
        <f t="shared" si="10"/>
        <v>57437264.516129039</v>
      </c>
      <c r="F51" s="9">
        <f t="shared" si="10"/>
        <v>44282160</v>
      </c>
      <c r="G51" s="9">
        <f t="shared" si="10"/>
        <v>43279470.967741922</v>
      </c>
      <c r="H51" s="9">
        <f t="shared" si="10"/>
        <v>21901440.000000011</v>
      </c>
      <c r="I51" s="9">
        <f t="shared" si="10"/>
        <v>48830477.419354849</v>
      </c>
      <c r="J51" s="9">
        <f t="shared" si="10"/>
        <v>86992954.838709667</v>
      </c>
      <c r="K51" s="9">
        <f t="shared" si="10"/>
        <v>93924840</v>
      </c>
      <c r="L51" s="9">
        <f t="shared" si="10"/>
        <v>50841793.54838711</v>
      </c>
      <c r="M51" s="9">
        <f t="shared" si="10"/>
        <v>73198999.999999985</v>
      </c>
      <c r="N51" s="9">
        <f t="shared" si="10"/>
        <v>41831806.451612905</v>
      </c>
    </row>
    <row r="52" spans="2:15">
      <c r="B52" s="1" t="s">
        <v>76</v>
      </c>
      <c r="C52" s="22">
        <f t="shared" ref="C52:N52" si="11">100000*C50</f>
        <v>64365483.870967709</v>
      </c>
      <c r="D52" s="22">
        <f t="shared" si="11"/>
        <v>62532785.714285716</v>
      </c>
      <c r="E52" s="22">
        <f t="shared" si="11"/>
        <v>47864387.096774198</v>
      </c>
      <c r="F52" s="22">
        <f t="shared" si="11"/>
        <v>36901800</v>
      </c>
      <c r="G52" s="22">
        <f t="shared" si="11"/>
        <v>36066225.806451604</v>
      </c>
      <c r="H52" s="22">
        <f t="shared" si="11"/>
        <v>18251200.000000007</v>
      </c>
      <c r="I52" s="22">
        <f t="shared" si="11"/>
        <v>40692064.516129039</v>
      </c>
      <c r="J52" s="22">
        <f t="shared" si="11"/>
        <v>72494129.032258064</v>
      </c>
      <c r="K52" s="22">
        <f t="shared" si="11"/>
        <v>78270700</v>
      </c>
      <c r="L52" s="22">
        <f t="shared" si="11"/>
        <v>42368161.290322594</v>
      </c>
      <c r="M52" s="22">
        <f t="shared" si="11"/>
        <v>60999166.666666657</v>
      </c>
      <c r="N52" s="22">
        <f t="shared" si="11"/>
        <v>34859838.709677421</v>
      </c>
    </row>
    <row r="53" spans="2:15">
      <c r="B53" s="1" t="s">
        <v>77</v>
      </c>
      <c r="C53" s="35">
        <v>7.4999999999999997E-3</v>
      </c>
      <c r="D53" s="32">
        <f t="shared" ref="D53:N53" si="12">C53</f>
        <v>7.4999999999999997E-3</v>
      </c>
      <c r="E53" s="32">
        <f t="shared" si="12"/>
        <v>7.4999999999999997E-3</v>
      </c>
      <c r="F53" s="32">
        <f t="shared" si="12"/>
        <v>7.4999999999999997E-3</v>
      </c>
      <c r="G53" s="32">
        <f t="shared" si="12"/>
        <v>7.4999999999999997E-3</v>
      </c>
      <c r="H53" s="32">
        <f t="shared" si="12"/>
        <v>7.4999999999999997E-3</v>
      </c>
      <c r="I53" s="32">
        <f t="shared" si="12"/>
        <v>7.4999999999999997E-3</v>
      </c>
      <c r="J53" s="32">
        <f t="shared" si="12"/>
        <v>7.4999999999999997E-3</v>
      </c>
      <c r="K53" s="32">
        <f t="shared" si="12"/>
        <v>7.4999999999999997E-3</v>
      </c>
      <c r="L53" s="32">
        <f t="shared" si="12"/>
        <v>7.4999999999999997E-3</v>
      </c>
      <c r="M53" s="32">
        <f t="shared" si="12"/>
        <v>7.4999999999999997E-3</v>
      </c>
      <c r="N53" s="32">
        <f t="shared" si="12"/>
        <v>7.4999999999999997E-3</v>
      </c>
    </row>
    <row r="54" spans="2:15">
      <c r="B54" s="1" t="s">
        <v>80</v>
      </c>
      <c r="C54" s="9">
        <f t="shared" ref="C54:N54" si="13">C51*C53</f>
        <v>579289.35483870923</v>
      </c>
      <c r="D54" s="9">
        <f t="shared" si="13"/>
        <v>562795.07142857148</v>
      </c>
      <c r="E54" s="9">
        <f t="shared" si="13"/>
        <v>430779.48387096776</v>
      </c>
      <c r="F54" s="9">
        <f t="shared" si="13"/>
        <v>332116.2</v>
      </c>
      <c r="G54" s="9">
        <f t="shared" si="13"/>
        <v>324596.03225806443</v>
      </c>
      <c r="H54" s="9">
        <f t="shared" si="13"/>
        <v>164260.80000000008</v>
      </c>
      <c r="I54" s="9">
        <f t="shared" si="13"/>
        <v>366228.58064516133</v>
      </c>
      <c r="J54" s="9">
        <f t="shared" si="13"/>
        <v>652447.16129032243</v>
      </c>
      <c r="K54" s="9">
        <f t="shared" si="13"/>
        <v>704436.29999999993</v>
      </c>
      <c r="L54" s="9">
        <f t="shared" si="13"/>
        <v>381313.45161290333</v>
      </c>
      <c r="M54" s="9">
        <f t="shared" si="13"/>
        <v>548992.49999999988</v>
      </c>
      <c r="N54" s="9">
        <f t="shared" si="13"/>
        <v>313738.54838709679</v>
      </c>
    </row>
    <row r="55" spans="2:15">
      <c r="B55" s="1" t="s">
        <v>81</v>
      </c>
      <c r="C55" s="9">
        <f t="shared" ref="C55:N55" si="14">C52*C53</f>
        <v>482741.12903225777</v>
      </c>
      <c r="D55" s="9">
        <f t="shared" si="14"/>
        <v>468995.89285714284</v>
      </c>
      <c r="E55" s="9">
        <f t="shared" si="14"/>
        <v>358982.90322580648</v>
      </c>
      <c r="F55" s="9">
        <f t="shared" si="14"/>
        <v>276763.5</v>
      </c>
      <c r="G55" s="9">
        <f t="shared" si="14"/>
        <v>270496.69354838703</v>
      </c>
      <c r="H55" s="9">
        <f t="shared" si="14"/>
        <v>136884.00000000006</v>
      </c>
      <c r="I55" s="9">
        <f t="shared" si="14"/>
        <v>305190.48387096776</v>
      </c>
      <c r="J55" s="9">
        <f t="shared" si="14"/>
        <v>543705.96774193551</v>
      </c>
      <c r="K55" s="9">
        <f t="shared" si="14"/>
        <v>587030.25</v>
      </c>
      <c r="L55" s="9">
        <f t="shared" si="14"/>
        <v>317761.20967741945</v>
      </c>
      <c r="M55" s="9">
        <f t="shared" si="14"/>
        <v>457493.74999999988</v>
      </c>
      <c r="N55" s="9">
        <f t="shared" si="14"/>
        <v>261448.79032258064</v>
      </c>
    </row>
    <row r="56" spans="2:15">
      <c r="B56" s="25" t="s">
        <v>111</v>
      </c>
      <c r="C56" s="32">
        <f>C54/C8</f>
        <v>1.2873096774193538E-2</v>
      </c>
      <c r="D56" s="32">
        <f>D54/C8</f>
        <v>1.2506557142857144E-2</v>
      </c>
      <c r="E56" s="32">
        <f>E54/C8</f>
        <v>9.5728774193548395E-3</v>
      </c>
      <c r="F56" s="32">
        <f>F54/C8</f>
        <v>7.3803599999999999E-3</v>
      </c>
      <c r="G56" s="32">
        <f>G54/C8</f>
        <v>7.2132451612903206E-3</v>
      </c>
      <c r="H56" s="32">
        <f>H54/C8</f>
        <v>3.6502400000000016E-3</v>
      </c>
      <c r="I56" s="32">
        <f>I54/C8</f>
        <v>8.1384129032258078E-3</v>
      </c>
      <c r="J56" s="32">
        <f>J54/C8</f>
        <v>1.449882580645161E-2</v>
      </c>
      <c r="K56" s="32">
        <f>K54/C8</f>
        <v>1.5654139999999997E-2</v>
      </c>
      <c r="L56" s="32">
        <f>L54/C8</f>
        <v>8.4736322580645177E-3</v>
      </c>
      <c r="M56" s="32">
        <f>M54/C8</f>
        <v>1.219983333333333E-2</v>
      </c>
      <c r="N56" s="32">
        <f>N54/C8</f>
        <v>6.9719677419354843E-3</v>
      </c>
    </row>
    <row r="57" spans="2:15">
      <c r="B57" s="25" t="s">
        <v>112</v>
      </c>
      <c r="C57" s="32">
        <f>C55/C8</f>
        <v>1.0727580645161284E-2</v>
      </c>
      <c r="D57" s="32">
        <f>D55/C8</f>
        <v>1.0422130952380952E-2</v>
      </c>
      <c r="E57" s="32">
        <f>E55/C8</f>
        <v>7.9773978494623657E-3</v>
      </c>
      <c r="F57" s="32">
        <f>F55/C8</f>
        <v>6.1503E-3</v>
      </c>
      <c r="G57" s="32">
        <f>G55/C8</f>
        <v>6.0110376344086006E-3</v>
      </c>
      <c r="H57" s="32">
        <f>H55/C8</f>
        <v>3.0418666666666679E-3</v>
      </c>
      <c r="I57" s="32">
        <f>I55/C8</f>
        <v>6.782010752688172E-3</v>
      </c>
      <c r="J57" s="32">
        <f>J55/C8</f>
        <v>1.2082354838709678E-2</v>
      </c>
      <c r="K57" s="32">
        <f>K55/C8</f>
        <v>1.3045116666666667E-2</v>
      </c>
      <c r="L57" s="32">
        <f>L55/C8</f>
        <v>7.0613602150537656E-3</v>
      </c>
      <c r="M57" s="32">
        <f>M55/C8</f>
        <v>1.0166527777777774E-2</v>
      </c>
      <c r="N57" s="32">
        <f>N55/C8</f>
        <v>5.8099731182795697E-3</v>
      </c>
      <c r="O57" s="41">
        <f>SUM(C57:N57)</f>
        <v>9.9277657117255502E-2</v>
      </c>
    </row>
    <row r="58" spans="2:15">
      <c r="B58" s="25" t="s">
        <v>116</v>
      </c>
      <c r="C58" s="9">
        <f t="shared" ref="C58:C59" si="15">SUM(C54:N54)</f>
        <v>5360993.4843317969</v>
      </c>
    </row>
    <row r="59" spans="2:15">
      <c r="B59" s="25" t="s">
        <v>117</v>
      </c>
      <c r="C59" s="9">
        <f t="shared" si="15"/>
        <v>4467494.5702764969</v>
      </c>
    </row>
    <row r="61" spans="2:15">
      <c r="B61" s="66" t="s">
        <v>118</v>
      </c>
      <c r="C61" s="63"/>
      <c r="D61" s="63"/>
      <c r="E61" s="64"/>
      <c r="G61" s="42"/>
      <c r="H61" s="42"/>
    </row>
    <row r="62" spans="2:15">
      <c r="B62" s="36" t="s">
        <v>97</v>
      </c>
      <c r="C62" s="36" t="s">
        <v>119</v>
      </c>
      <c r="D62" s="36" t="s">
        <v>120</v>
      </c>
      <c r="E62" s="36" t="s">
        <v>121</v>
      </c>
      <c r="G62" s="43"/>
      <c r="H62" s="44"/>
    </row>
    <row r="63" spans="2:15">
      <c r="B63" s="36" t="s">
        <v>98</v>
      </c>
      <c r="C63" s="57">
        <f>C39</f>
        <v>446294.99999999994</v>
      </c>
      <c r="D63" s="58">
        <f>C55</f>
        <v>482741.12903225777</v>
      </c>
      <c r="E63" s="45">
        <f t="shared" ref="E63:E74" si="16">(D63/C63)-1</f>
        <v>8.1663762830096243E-2</v>
      </c>
      <c r="G63" s="43"/>
      <c r="H63" s="44"/>
    </row>
    <row r="64" spans="2:15">
      <c r="B64" s="36" t="s">
        <v>99</v>
      </c>
      <c r="C64" s="57">
        <f>D39</f>
        <v>463395</v>
      </c>
      <c r="D64" s="58">
        <f>D55</f>
        <v>468995.89285714284</v>
      </c>
      <c r="E64" s="45">
        <f t="shared" si="16"/>
        <v>1.2086649310292241E-2</v>
      </c>
      <c r="G64" s="43"/>
      <c r="H64" s="44"/>
    </row>
    <row r="65" spans="1:22">
      <c r="B65" s="36" t="s">
        <v>100</v>
      </c>
      <c r="C65" s="57">
        <f>E39</f>
        <v>506715</v>
      </c>
      <c r="D65" s="58">
        <f>E55</f>
        <v>358982.90322580648</v>
      </c>
      <c r="E65" s="45">
        <f t="shared" si="16"/>
        <v>-0.29154869458017529</v>
      </c>
      <c r="G65" s="43"/>
      <c r="H65" s="44"/>
    </row>
    <row r="66" spans="1:22">
      <c r="B66" s="36" t="s">
        <v>101</v>
      </c>
      <c r="C66" s="57">
        <f>F39</f>
        <v>661192.5</v>
      </c>
      <c r="D66" s="58">
        <f>F55</f>
        <v>276763.5</v>
      </c>
      <c r="E66" s="45">
        <f t="shared" si="16"/>
        <v>-0.58141766580836896</v>
      </c>
      <c r="G66" s="43"/>
      <c r="H66" s="44"/>
    </row>
    <row r="67" spans="1:22">
      <c r="B67" s="36" t="s">
        <v>102</v>
      </c>
      <c r="C67" s="57">
        <f>G39</f>
        <v>305775</v>
      </c>
      <c r="D67" s="58">
        <f>G55</f>
        <v>270496.69354838703</v>
      </c>
      <c r="E67" s="45">
        <f t="shared" si="16"/>
        <v>-0.11537341656974232</v>
      </c>
      <c r="G67" s="43"/>
      <c r="H67" s="44"/>
    </row>
    <row r="68" spans="1:22">
      <c r="B68" s="36" t="s">
        <v>103</v>
      </c>
      <c r="C68" s="57">
        <f>H39</f>
        <v>318615</v>
      </c>
      <c r="D68" s="58">
        <f>H55</f>
        <v>136884.00000000006</v>
      </c>
      <c r="E68" s="45">
        <f t="shared" si="16"/>
        <v>-0.57037804246504376</v>
      </c>
      <c r="G68" s="43"/>
      <c r="H68" s="44"/>
    </row>
    <row r="69" spans="1:22">
      <c r="B69" s="36" t="s">
        <v>104</v>
      </c>
      <c r="C69" s="57">
        <f>I39</f>
        <v>342622.5</v>
      </c>
      <c r="D69" s="58">
        <f>I55</f>
        <v>305190.48387096776</v>
      </c>
      <c r="E69" s="45">
        <f t="shared" si="16"/>
        <v>-0.10925148269314555</v>
      </c>
      <c r="G69" s="43"/>
      <c r="H69" s="44"/>
    </row>
    <row r="70" spans="1:22">
      <c r="B70" s="36" t="s">
        <v>105</v>
      </c>
      <c r="C70" s="57">
        <f>J39</f>
        <v>485294.99999999994</v>
      </c>
      <c r="D70" s="58">
        <f>J55</f>
        <v>543705.96774193551</v>
      </c>
      <c r="E70" s="45">
        <f t="shared" si="16"/>
        <v>0.12036177529530612</v>
      </c>
      <c r="G70" s="43"/>
      <c r="H70" s="44"/>
    </row>
    <row r="71" spans="1:22">
      <c r="B71" s="36" t="s">
        <v>106</v>
      </c>
      <c r="C71" s="57">
        <f>K39</f>
        <v>677257.5</v>
      </c>
      <c r="D71" s="58">
        <f>K55</f>
        <v>587030.25</v>
      </c>
      <c r="E71" s="45">
        <f t="shared" si="16"/>
        <v>-0.1332244382675718</v>
      </c>
      <c r="G71" s="43"/>
      <c r="H71" s="44"/>
    </row>
    <row r="72" spans="1:22">
      <c r="B72" s="36" t="s">
        <v>107</v>
      </c>
      <c r="C72" s="57">
        <f>L39</f>
        <v>1506480</v>
      </c>
      <c r="D72" s="58">
        <f>L55</f>
        <v>317761.20967741945</v>
      </c>
      <c r="E72" s="45">
        <f t="shared" si="16"/>
        <v>-0.78907040937986594</v>
      </c>
      <c r="G72" s="43"/>
      <c r="H72" s="44"/>
    </row>
    <row r="73" spans="1:22">
      <c r="B73" s="36" t="s">
        <v>108</v>
      </c>
      <c r="C73" s="57">
        <f>M39</f>
        <v>1122067.5</v>
      </c>
      <c r="D73" s="58">
        <f>M55</f>
        <v>457493.74999999988</v>
      </c>
      <c r="E73" s="45">
        <f t="shared" si="16"/>
        <v>-0.59227608855973468</v>
      </c>
      <c r="G73" s="43"/>
      <c r="H73" s="44"/>
    </row>
    <row r="74" spans="1:22">
      <c r="B74" s="36" t="s">
        <v>109</v>
      </c>
      <c r="C74" s="57">
        <f>N39</f>
        <v>666907.5</v>
      </c>
      <c r="D74" s="58">
        <f>N55</f>
        <v>261448.79032258064</v>
      </c>
      <c r="E74" s="45">
        <f t="shared" si="16"/>
        <v>-0.60796843591865346</v>
      </c>
    </row>
    <row r="78" spans="1:22">
      <c r="B78" s="46">
        <v>7497000</v>
      </c>
      <c r="C78" s="46">
        <v>7946820</v>
      </c>
      <c r="D78" s="46">
        <v>8423629.1999999993</v>
      </c>
      <c r="E78" s="46">
        <v>8929046.9520000014</v>
      </c>
      <c r="F78" s="46">
        <v>9464789.7691200022</v>
      </c>
      <c r="G78" s="46">
        <v>10032677.155267203</v>
      </c>
      <c r="H78" s="46">
        <v>10634637.784583235</v>
      </c>
      <c r="I78" s="46">
        <v>11272716.05165823</v>
      </c>
      <c r="J78" s="46">
        <v>11949079.014757724</v>
      </c>
      <c r="K78" s="46">
        <v>12666023.755643187</v>
      </c>
      <c r="L78" s="46">
        <v>13425985.180981779</v>
      </c>
      <c r="M78" s="46">
        <v>14231544.291840686</v>
      </c>
      <c r="N78" s="46">
        <v>15085436.949351128</v>
      </c>
      <c r="O78" s="46">
        <v>15990563.166312195</v>
      </c>
      <c r="P78" s="46">
        <v>16949996.956290931</v>
      </c>
      <c r="Q78" s="46">
        <v>17966996.773668386</v>
      </c>
      <c r="R78" s="46">
        <v>19045016.580088492</v>
      </c>
      <c r="S78" s="46">
        <v>20187717.574893799</v>
      </c>
      <c r="T78" s="46">
        <v>21398980.629387431</v>
      </c>
      <c r="U78" s="46">
        <v>22682919.467150677</v>
      </c>
      <c r="V78" s="46">
        <v>24043894.635179717</v>
      </c>
    </row>
    <row r="79" spans="1:22">
      <c r="B79" s="46">
        <v>5400000</v>
      </c>
      <c r="C79" s="46">
        <v>5724000</v>
      </c>
      <c r="D79" s="46">
        <v>6067440</v>
      </c>
      <c r="E79" s="46">
        <v>6431486.3999999994</v>
      </c>
      <c r="F79" s="46">
        <v>6817375.5839999998</v>
      </c>
      <c r="G79" s="46">
        <v>7226418.1190400003</v>
      </c>
      <c r="H79" s="46">
        <v>7660003.2061824016</v>
      </c>
      <c r="I79" s="46">
        <v>8119603.3985533454</v>
      </c>
      <c r="J79" s="46">
        <v>8606779.602466546</v>
      </c>
      <c r="K79" s="46">
        <v>9123186.3786145393</v>
      </c>
      <c r="L79" s="46">
        <v>9670577.5613314118</v>
      </c>
      <c r="M79" s="46">
        <v>10250812.215011297</v>
      </c>
      <c r="N79" s="46">
        <v>10865860.947911976</v>
      </c>
      <c r="O79" s="46">
        <v>11517812.604786694</v>
      </c>
      <c r="P79" s="46">
        <v>12208881.361073894</v>
      </c>
      <c r="Q79" s="46">
        <v>12941414.242738331</v>
      </c>
      <c r="R79" s="46">
        <v>13717899.097302631</v>
      </c>
      <c r="S79" s="46">
        <v>14540973.043140789</v>
      </c>
      <c r="T79" s="46">
        <v>15413431.425729237</v>
      </c>
      <c r="U79" s="46">
        <v>16338237.311272992</v>
      </c>
      <c r="V79" s="46">
        <v>17318531.54994937</v>
      </c>
    </row>
    <row r="80" spans="1:22">
      <c r="A80" s="47" t="s">
        <v>122</v>
      </c>
      <c r="B80" s="47" t="s">
        <v>123</v>
      </c>
      <c r="C80" s="47" t="s">
        <v>124</v>
      </c>
    </row>
    <row r="81" spans="1:7">
      <c r="A81" s="47">
        <v>1</v>
      </c>
      <c r="B81" s="48">
        <v>5400000</v>
      </c>
      <c r="C81" s="48">
        <v>7497000</v>
      </c>
    </row>
    <row r="82" spans="1:7">
      <c r="A82" s="47">
        <v>2</v>
      </c>
      <c r="B82" s="48">
        <v>5724000</v>
      </c>
      <c r="C82" s="48">
        <v>7946820</v>
      </c>
      <c r="E82" s="47" t="s">
        <v>122</v>
      </c>
      <c r="F82" s="47" t="s">
        <v>125</v>
      </c>
      <c r="G82" s="47">
        <v>2024</v>
      </c>
    </row>
    <row r="83" spans="1:7">
      <c r="A83" s="47">
        <v>3</v>
      </c>
      <c r="B83" s="48">
        <v>6067440</v>
      </c>
      <c r="C83" s="48">
        <v>8423629.1999999993</v>
      </c>
      <c r="E83" s="47">
        <v>1</v>
      </c>
      <c r="F83" s="48">
        <v>5400000</v>
      </c>
      <c r="G83" s="48">
        <v>7497000</v>
      </c>
    </row>
    <row r="84" spans="1:7">
      <c r="A84" s="47">
        <v>4</v>
      </c>
      <c r="B84" s="48">
        <v>6431486.3999999994</v>
      </c>
      <c r="C84" s="48">
        <v>8929046.9520000014</v>
      </c>
      <c r="E84" s="47">
        <v>3</v>
      </c>
      <c r="F84" s="48">
        <v>6067440</v>
      </c>
      <c r="G84" s="48">
        <v>8423629.1999999993</v>
      </c>
    </row>
    <row r="85" spans="1:7">
      <c r="A85" s="47">
        <v>5</v>
      </c>
      <c r="B85" s="48">
        <v>6817375.5839999998</v>
      </c>
      <c r="C85" s="48">
        <v>9464789.7691200022</v>
      </c>
      <c r="D85" s="47" t="s">
        <v>126</v>
      </c>
      <c r="E85" s="47">
        <v>6</v>
      </c>
      <c r="F85" s="48">
        <v>7226418.1190400003</v>
      </c>
      <c r="G85" s="48">
        <v>10032677.155267203</v>
      </c>
    </row>
    <row r="86" spans="1:7">
      <c r="A86" s="47">
        <v>6</v>
      </c>
      <c r="B86" s="48">
        <v>7226418.1190400003</v>
      </c>
      <c r="C86" s="48">
        <v>10032677.155267203</v>
      </c>
      <c r="E86" s="47">
        <v>9</v>
      </c>
      <c r="F86" s="48">
        <v>8606779.602466546</v>
      </c>
      <c r="G86" s="48">
        <v>11949079.014757724</v>
      </c>
    </row>
    <row r="87" spans="1:7" ht="14.4">
      <c r="A87" s="47">
        <v>7</v>
      </c>
      <c r="B87" s="48">
        <v>7660003.2061824016</v>
      </c>
      <c r="C87" s="48">
        <v>10634637.784583235</v>
      </c>
      <c r="E87" s="47">
        <v>12</v>
      </c>
      <c r="F87" s="48">
        <v>10250812.215011297</v>
      </c>
      <c r="G87" s="48">
        <v>14231544.291840686</v>
      </c>
    </row>
    <row r="88" spans="1:7" ht="14.4">
      <c r="A88" s="47">
        <v>8</v>
      </c>
      <c r="B88" s="48">
        <v>8119603.3985533454</v>
      </c>
      <c r="C88" s="48">
        <v>11272716.05165823</v>
      </c>
      <c r="E88" s="47">
        <v>15</v>
      </c>
      <c r="F88" s="48">
        <v>12208881.361073894</v>
      </c>
      <c r="G88" s="48">
        <v>16949996.956290931</v>
      </c>
    </row>
    <row r="89" spans="1:7" ht="14.4">
      <c r="A89" s="47">
        <v>9</v>
      </c>
      <c r="B89" s="48">
        <v>8606779.602466546</v>
      </c>
      <c r="C89" s="48">
        <v>11949079.014757724</v>
      </c>
      <c r="E89" s="47">
        <v>18</v>
      </c>
      <c r="F89" s="48">
        <v>14540973.043140789</v>
      </c>
      <c r="G89" s="48">
        <v>20187717.574893799</v>
      </c>
    </row>
    <row r="90" spans="1:7" ht="14.4">
      <c r="A90" s="47">
        <v>10</v>
      </c>
      <c r="B90" s="48">
        <v>9123186.3786145393</v>
      </c>
      <c r="C90" s="48">
        <v>12666023.755643187</v>
      </c>
      <c r="E90" s="47">
        <v>21</v>
      </c>
      <c r="F90" s="48">
        <v>17318531.54994937</v>
      </c>
      <c r="G90" s="48">
        <v>24043894.635179717</v>
      </c>
    </row>
    <row r="91" spans="1:7" ht="14.4">
      <c r="A91" s="47">
        <v>11</v>
      </c>
      <c r="B91" s="48">
        <v>9670577.5613314118</v>
      </c>
      <c r="C91" s="48">
        <v>13425985.180981779</v>
      </c>
    </row>
    <row r="92" spans="1:7" ht="14.4">
      <c r="A92" s="47">
        <v>12</v>
      </c>
      <c r="B92" s="48">
        <v>10250812.215011297</v>
      </c>
      <c r="C92" s="48">
        <v>14231544.291840686</v>
      </c>
    </row>
    <row r="93" spans="1:7" ht="14.4">
      <c r="A93" s="47">
        <v>13</v>
      </c>
      <c r="B93" s="48">
        <v>10865860.947911976</v>
      </c>
      <c r="C93" s="48">
        <v>15085436.949351128</v>
      </c>
    </row>
    <row r="94" spans="1:7" ht="14.4">
      <c r="A94" s="47">
        <v>14</v>
      </c>
      <c r="B94" s="48">
        <v>11517812.604786694</v>
      </c>
      <c r="C94" s="48">
        <v>15990563.166312195</v>
      </c>
    </row>
    <row r="95" spans="1:7">
      <c r="A95" s="47">
        <v>15</v>
      </c>
      <c r="B95" s="48">
        <v>12208881.361073894</v>
      </c>
      <c r="C95" s="48">
        <v>16949996.956290931</v>
      </c>
    </row>
    <row r="96" spans="1:7">
      <c r="A96" s="47">
        <v>16</v>
      </c>
      <c r="B96" s="48">
        <v>12941414.242738331</v>
      </c>
      <c r="C96" s="48">
        <v>17966996.773668386</v>
      </c>
    </row>
    <row r="97" spans="1:3">
      <c r="A97" s="47">
        <v>17</v>
      </c>
      <c r="B97" s="48">
        <v>13717899.097302631</v>
      </c>
      <c r="C97" s="48">
        <v>19045016.580088492</v>
      </c>
    </row>
    <row r="98" spans="1:3">
      <c r="A98" s="47">
        <v>18</v>
      </c>
      <c r="B98" s="48">
        <v>14540973.043140789</v>
      </c>
      <c r="C98" s="48">
        <v>20187717.574893799</v>
      </c>
    </row>
    <row r="99" spans="1:3">
      <c r="A99" s="47">
        <v>19</v>
      </c>
      <c r="B99" s="48">
        <v>15413431.425729237</v>
      </c>
      <c r="C99" s="48">
        <v>21398980.629387431</v>
      </c>
    </row>
    <row r="100" spans="1:3">
      <c r="A100" s="47">
        <v>20</v>
      </c>
      <c r="B100" s="48">
        <v>16338237.311272992</v>
      </c>
      <c r="C100" s="48">
        <v>22682919.467150677</v>
      </c>
    </row>
    <row r="101" spans="1:3">
      <c r="A101" s="47">
        <v>21</v>
      </c>
      <c r="B101" s="48">
        <v>17318531.54994937</v>
      </c>
      <c r="C101" s="48">
        <v>24043894.635179717</v>
      </c>
    </row>
    <row r="102" spans="1:3">
      <c r="B102" s="48">
        <f t="shared" ref="B102:C102" si="17">SUM(B81:B101)</f>
        <v>215960724.04910544</v>
      </c>
      <c r="C102" s="48">
        <f t="shared" si="17"/>
        <v>299825471.88817477</v>
      </c>
    </row>
  </sheetData>
  <mergeCells count="6">
    <mergeCell ref="B61:E61"/>
    <mergeCell ref="B2:I2"/>
    <mergeCell ref="B4:C4"/>
    <mergeCell ref="B19:W19"/>
    <mergeCell ref="B32:N32"/>
    <mergeCell ref="B48:N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BF818-0698-4E0A-AF51-E6ACCAAEC810}">
  <sheetPr>
    <outlinePr summaryBelow="0" summaryRight="0"/>
  </sheetPr>
  <dimension ref="A2:W97"/>
  <sheetViews>
    <sheetView tabSelected="1" zoomScale="70" zoomScaleNormal="70" workbookViewId="0">
      <selection activeCell="I5" sqref="I5:I6"/>
    </sheetView>
  </sheetViews>
  <sheetFormatPr baseColWidth="10" defaultColWidth="14.44140625" defaultRowHeight="15" customHeight="1"/>
  <cols>
    <col min="1" max="1" width="14.109375" customWidth="1"/>
    <col min="2" max="24" width="27.33203125" customWidth="1"/>
  </cols>
  <sheetData>
    <row r="2" spans="2:9">
      <c r="B2" s="62" t="s">
        <v>48</v>
      </c>
      <c r="C2" s="63"/>
      <c r="D2" s="63"/>
      <c r="E2" s="63"/>
      <c r="F2" s="63"/>
      <c r="G2" s="63"/>
      <c r="H2" s="63"/>
      <c r="I2" s="64"/>
    </row>
    <row r="4" spans="2:9">
      <c r="B4" s="65" t="s">
        <v>49</v>
      </c>
      <c r="C4" s="64"/>
      <c r="E4" s="1" t="s">
        <v>1</v>
      </c>
      <c r="F4" s="33">
        <v>100</v>
      </c>
    </row>
    <row r="5" spans="2:9">
      <c r="B5" s="53" t="s">
        <v>14</v>
      </c>
      <c r="C5" s="20">
        <v>1</v>
      </c>
      <c r="E5" s="1" t="s">
        <v>50</v>
      </c>
      <c r="F5" s="17">
        <v>0.75</v>
      </c>
    </row>
    <row r="6" spans="2:9">
      <c r="B6" s="26" t="s">
        <v>52</v>
      </c>
      <c r="C6" s="17">
        <v>0</v>
      </c>
      <c r="E6" s="1" t="s">
        <v>2</v>
      </c>
      <c r="F6" s="20" t="s">
        <v>51</v>
      </c>
    </row>
    <row r="7" spans="2:9">
      <c r="B7" s="1" t="s">
        <v>53</v>
      </c>
      <c r="C7" s="22">
        <v>55000000</v>
      </c>
      <c r="E7" s="1" t="s">
        <v>4</v>
      </c>
      <c r="F7" s="20">
        <v>1429</v>
      </c>
    </row>
    <row r="8" spans="2:9">
      <c r="B8" s="23" t="s">
        <v>54</v>
      </c>
      <c r="C8" s="39">
        <f>C7-(C7*C6)</f>
        <v>55000000</v>
      </c>
      <c r="E8" s="53" t="s">
        <v>157</v>
      </c>
      <c r="F8" s="7">
        <v>100000</v>
      </c>
    </row>
    <row r="9" spans="2:9" ht="14.4">
      <c r="B9" s="23" t="s">
        <v>56</v>
      </c>
      <c r="C9" s="39">
        <f>C5*C8</f>
        <v>55000000</v>
      </c>
      <c r="E9" s="1" t="s">
        <v>159</v>
      </c>
      <c r="F9" s="77">
        <v>496.39</v>
      </c>
    </row>
    <row r="10" spans="2:9" ht="14.4">
      <c r="B10" s="26" t="s">
        <v>57</v>
      </c>
      <c r="C10" s="39">
        <f>(C7*C5)-C9</f>
        <v>0</v>
      </c>
      <c r="E10" s="1" t="s">
        <v>160</v>
      </c>
      <c r="F10" s="77">
        <v>1800</v>
      </c>
    </row>
    <row r="11" spans="2:9" ht="14.4">
      <c r="B11" s="26" t="s">
        <v>59</v>
      </c>
      <c r="C11" s="27">
        <f>C12*12</f>
        <v>0.14522285454545455</v>
      </c>
      <c r="E11" s="1" t="s">
        <v>53</v>
      </c>
      <c r="F11" s="22">
        <v>45000000</v>
      </c>
    </row>
    <row r="12" spans="2:9">
      <c r="B12" s="26" t="s">
        <v>60</v>
      </c>
      <c r="C12" s="27">
        <f>C14/C8</f>
        <v>1.2101904545454546E-2</v>
      </c>
    </row>
    <row r="13" spans="2:9">
      <c r="B13" s="26" t="s">
        <v>61</v>
      </c>
      <c r="C13" s="39">
        <f>C14*12</f>
        <v>7987257</v>
      </c>
    </row>
    <row r="14" spans="2:9">
      <c r="B14" s="53" t="s">
        <v>62</v>
      </c>
      <c r="C14" s="39">
        <f>C33</f>
        <v>665604.75</v>
      </c>
    </row>
    <row r="15" spans="2:9">
      <c r="B15" s="26" t="s">
        <v>63</v>
      </c>
      <c r="C15" s="39">
        <f>C13*C5</f>
        <v>7987257</v>
      </c>
    </row>
    <row r="16" spans="2:9">
      <c r="B16" s="53" t="s">
        <v>64</v>
      </c>
      <c r="C16" s="39">
        <f>C14*C5</f>
        <v>665604.75</v>
      </c>
    </row>
    <row r="19" spans="2:23">
      <c r="B19" s="67" t="s">
        <v>38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1"/>
    </row>
    <row r="20" spans="2:23">
      <c r="B20" s="15" t="s">
        <v>39</v>
      </c>
      <c r="C20" s="15" t="s">
        <v>40</v>
      </c>
      <c r="D20" s="15" t="s">
        <v>72</v>
      </c>
      <c r="E20" s="15" t="s">
        <v>42</v>
      </c>
      <c r="F20" s="15" t="s">
        <v>43</v>
      </c>
      <c r="G20" s="15" t="s">
        <v>44</v>
      </c>
      <c r="H20" s="15" t="s">
        <v>45</v>
      </c>
      <c r="I20" s="15" t="s">
        <v>46</v>
      </c>
      <c r="J20" s="15" t="s">
        <v>82</v>
      </c>
      <c r="K20" s="15" t="s">
        <v>83</v>
      </c>
      <c r="L20" s="15" t="s">
        <v>84</v>
      </c>
      <c r="M20" s="15" t="s">
        <v>85</v>
      </c>
      <c r="N20" s="15" t="s">
        <v>86</v>
      </c>
      <c r="O20" s="15" t="s">
        <v>87</v>
      </c>
      <c r="P20" s="15" t="s">
        <v>88</v>
      </c>
      <c r="Q20" s="15" t="s">
        <v>89</v>
      </c>
      <c r="R20" s="15" t="s">
        <v>90</v>
      </c>
      <c r="S20" s="15" t="s">
        <v>91</v>
      </c>
      <c r="T20" s="15" t="s">
        <v>92</v>
      </c>
      <c r="U20" s="15" t="s">
        <v>93</v>
      </c>
      <c r="V20" s="15" t="s">
        <v>94</v>
      </c>
      <c r="W20" s="15" t="s">
        <v>95</v>
      </c>
    </row>
    <row r="21" spans="2:23" ht="14.4">
      <c r="B21" s="1" t="s">
        <v>159</v>
      </c>
      <c r="C21" s="9">
        <f>F9</f>
        <v>496.39</v>
      </c>
      <c r="D21" s="9">
        <f t="shared" ref="D21:D22" si="0">C21*1.06</f>
        <v>526.17340000000002</v>
      </c>
      <c r="E21" s="9">
        <f t="shared" ref="E21:E22" si="1">D21*1.06</f>
        <v>557.74380400000007</v>
      </c>
      <c r="F21" s="9">
        <f t="shared" ref="F21:F22" si="2">E21*1.06</f>
        <v>591.20843224000009</v>
      </c>
      <c r="G21" s="9">
        <f t="shared" ref="G21:G22" si="3">F21*1.06</f>
        <v>626.68093817440013</v>
      </c>
      <c r="H21" s="9">
        <f t="shared" ref="H21:H22" si="4">G21*1.06</f>
        <v>664.28179446486422</v>
      </c>
      <c r="I21" s="9">
        <f t="shared" ref="I21:I22" si="5">H21*1.06</f>
        <v>704.13870213275607</v>
      </c>
      <c r="J21" s="9">
        <f t="shared" ref="J21:J22" si="6">I21*1.06</f>
        <v>746.38702426072143</v>
      </c>
      <c r="K21" s="9">
        <f t="shared" ref="K21:K22" si="7">J21*1.06</f>
        <v>791.17024571636478</v>
      </c>
      <c r="L21" s="9">
        <f t="shared" ref="L21:L22" si="8">K21*1.06</f>
        <v>838.64046045934674</v>
      </c>
      <c r="M21" s="9">
        <f t="shared" ref="M21:M22" si="9">L21*1.06</f>
        <v>888.95888808690756</v>
      </c>
      <c r="N21" s="9">
        <f t="shared" ref="N21:N22" si="10">M21*1.06</f>
        <v>942.29642137212204</v>
      </c>
      <c r="O21" s="9">
        <f t="shared" ref="O21:O22" si="11">N21*1.06</f>
        <v>998.83420665444942</v>
      </c>
      <c r="P21" s="9">
        <f t="shared" ref="P21:P22" si="12">O21*1.06</f>
        <v>1058.7642590537164</v>
      </c>
      <c r="Q21" s="9">
        <f t="shared" ref="Q21:Q22" si="13">P21*1.06</f>
        <v>1122.2901145969395</v>
      </c>
      <c r="R21" s="9">
        <f t="shared" ref="R21:R22" si="14">Q21*1.06</f>
        <v>1189.6275214727559</v>
      </c>
      <c r="S21" s="9">
        <f t="shared" ref="S21:S22" si="15">R21*1.06</f>
        <v>1261.0051727611212</v>
      </c>
      <c r="T21" s="9">
        <f t="shared" ref="T21:T22" si="16">S21*1.06</f>
        <v>1336.6654831267886</v>
      </c>
      <c r="U21" s="9">
        <f t="shared" ref="U21:U22" si="17">T21*1.06</f>
        <v>1416.8654121143959</v>
      </c>
      <c r="V21" s="9">
        <f t="shared" ref="V21:V22" si="18">U21*1.06</f>
        <v>1501.8773368412596</v>
      </c>
      <c r="W21" s="9">
        <f t="shared" ref="W21:W22" si="19">V21*1.06</f>
        <v>1591.9899770517352</v>
      </c>
    </row>
    <row r="22" spans="2:23" ht="14.4">
      <c r="B22" s="1" t="s">
        <v>160</v>
      </c>
      <c r="C22" s="9">
        <f>F10</f>
        <v>1800</v>
      </c>
      <c r="D22" s="9">
        <f t="shared" si="0"/>
        <v>1908</v>
      </c>
      <c r="E22" s="9">
        <f t="shared" si="1"/>
        <v>2022.48</v>
      </c>
      <c r="F22" s="9">
        <f t="shared" si="2"/>
        <v>2143.8288000000002</v>
      </c>
      <c r="G22" s="9">
        <f t="shared" si="3"/>
        <v>2272.4585280000006</v>
      </c>
      <c r="H22" s="9">
        <f t="shared" si="4"/>
        <v>2408.8060396800006</v>
      </c>
      <c r="I22" s="9">
        <f t="shared" si="5"/>
        <v>2553.3344020608006</v>
      </c>
      <c r="J22" s="9">
        <f t="shared" si="6"/>
        <v>2706.5344661844488</v>
      </c>
      <c r="K22" s="9">
        <f t="shared" si="7"/>
        <v>2868.926534155516</v>
      </c>
      <c r="L22" s="9">
        <f t="shared" si="8"/>
        <v>3041.0621262048471</v>
      </c>
      <c r="M22" s="9">
        <f t="shared" si="9"/>
        <v>3223.5258537771383</v>
      </c>
      <c r="N22" s="9">
        <f t="shared" si="10"/>
        <v>3416.9374050037668</v>
      </c>
      <c r="O22" s="9">
        <f t="shared" si="11"/>
        <v>3621.9536493039932</v>
      </c>
      <c r="P22" s="9">
        <f t="shared" si="12"/>
        <v>3839.2708682622329</v>
      </c>
      <c r="Q22" s="9">
        <f t="shared" si="13"/>
        <v>4069.6271203579672</v>
      </c>
      <c r="R22" s="9">
        <f t="shared" si="14"/>
        <v>4313.8047475794456</v>
      </c>
      <c r="S22" s="9">
        <f t="shared" si="15"/>
        <v>4572.6330324342125</v>
      </c>
      <c r="T22" s="9">
        <f t="shared" si="16"/>
        <v>4846.9910143802654</v>
      </c>
      <c r="U22" s="9">
        <f t="shared" si="17"/>
        <v>5137.8104752430818</v>
      </c>
      <c r="V22" s="9">
        <f t="shared" si="18"/>
        <v>5446.0791037576673</v>
      </c>
      <c r="W22" s="9">
        <f t="shared" si="19"/>
        <v>5772.8438499831273</v>
      </c>
    </row>
    <row r="23" spans="2:23" ht="14.4">
      <c r="B23" s="1" t="s">
        <v>163</v>
      </c>
      <c r="C23" s="32">
        <f>100%-C24</f>
        <v>0.7</v>
      </c>
      <c r="D23" s="32">
        <f t="shared" ref="D23:W23" si="20">100%-D24</f>
        <v>0.65</v>
      </c>
      <c r="E23" s="32">
        <f t="shared" si="20"/>
        <v>0.6</v>
      </c>
      <c r="F23" s="32">
        <f t="shared" si="20"/>
        <v>0.55000000000000004</v>
      </c>
      <c r="G23" s="32">
        <f t="shared" si="20"/>
        <v>0.5</v>
      </c>
      <c r="H23" s="32">
        <f t="shared" si="20"/>
        <v>0.44999999999999996</v>
      </c>
      <c r="I23" s="32">
        <f t="shared" si="20"/>
        <v>0.4</v>
      </c>
      <c r="J23" s="32">
        <f t="shared" si="20"/>
        <v>0.35</v>
      </c>
      <c r="K23" s="32">
        <f t="shared" si="20"/>
        <v>0.30000000000000004</v>
      </c>
      <c r="L23" s="32">
        <f t="shared" si="20"/>
        <v>0.25</v>
      </c>
      <c r="M23" s="32">
        <f t="shared" si="20"/>
        <v>0.19999999999999996</v>
      </c>
      <c r="N23" s="32">
        <f t="shared" si="20"/>
        <v>0.15000000000000002</v>
      </c>
      <c r="O23" s="32">
        <f t="shared" si="20"/>
        <v>9.9999999999999978E-2</v>
      </c>
      <c r="P23" s="32">
        <f t="shared" si="20"/>
        <v>5.0000000000000044E-2</v>
      </c>
      <c r="Q23" s="32">
        <f t="shared" si="20"/>
        <v>0</v>
      </c>
      <c r="R23" s="32">
        <f t="shared" si="20"/>
        <v>0</v>
      </c>
      <c r="S23" s="32">
        <f t="shared" si="20"/>
        <v>0</v>
      </c>
      <c r="T23" s="32">
        <f t="shared" si="20"/>
        <v>0</v>
      </c>
      <c r="U23" s="32">
        <f t="shared" si="20"/>
        <v>0</v>
      </c>
      <c r="V23" s="32">
        <f t="shared" si="20"/>
        <v>0</v>
      </c>
      <c r="W23" s="32">
        <f t="shared" si="20"/>
        <v>0</v>
      </c>
    </row>
    <row r="24" spans="2:23" ht="14.4">
      <c r="B24" s="1" t="s">
        <v>164</v>
      </c>
      <c r="C24" s="78">
        <v>0.3</v>
      </c>
      <c r="D24" s="32">
        <f>C24+5%</f>
        <v>0.35</v>
      </c>
      <c r="E24" s="32">
        <v>0.4</v>
      </c>
      <c r="F24" s="32">
        <v>0.45</v>
      </c>
      <c r="G24" s="32">
        <v>0.5</v>
      </c>
      <c r="H24" s="32">
        <v>0.55000000000000004</v>
      </c>
      <c r="I24" s="32">
        <v>0.6</v>
      </c>
      <c r="J24" s="32">
        <v>0.65</v>
      </c>
      <c r="K24" s="32">
        <v>0.7</v>
      </c>
      <c r="L24" s="32">
        <v>0.75</v>
      </c>
      <c r="M24" s="32">
        <v>0.8</v>
      </c>
      <c r="N24" s="32">
        <v>0.85</v>
      </c>
      <c r="O24" s="32">
        <v>0.9</v>
      </c>
      <c r="P24" s="32">
        <v>0.95</v>
      </c>
      <c r="Q24" s="32">
        <v>1</v>
      </c>
      <c r="R24" s="32">
        <v>1</v>
      </c>
      <c r="S24" s="32">
        <v>1</v>
      </c>
      <c r="T24" s="32">
        <v>1</v>
      </c>
      <c r="U24" s="32">
        <v>1</v>
      </c>
      <c r="V24" s="32">
        <v>1</v>
      </c>
      <c r="W24" s="32">
        <v>1</v>
      </c>
    </row>
    <row r="25" spans="2:23" ht="14.4">
      <c r="B25" s="1" t="s">
        <v>162</v>
      </c>
      <c r="C25" s="9">
        <f>C27*12</f>
        <v>416967600</v>
      </c>
      <c r="D25" s="9">
        <f t="shared" ref="D25:W25" si="21">D27*12</f>
        <v>410415252</v>
      </c>
      <c r="E25" s="9">
        <f t="shared" si="21"/>
        <v>401575538.88000005</v>
      </c>
      <c r="F25" s="9">
        <f t="shared" si="21"/>
        <v>390197565.27840012</v>
      </c>
      <c r="G25" s="9">
        <f t="shared" si="21"/>
        <v>376008562.90464008</v>
      </c>
      <c r="H25" s="9">
        <f t="shared" si="21"/>
        <v>358712169.01102662</v>
      </c>
      <c r="I25" s="9">
        <f t="shared" si="21"/>
        <v>337986577.02372289</v>
      </c>
      <c r="J25" s="9">
        <f t="shared" si="21"/>
        <v>313482550.18950301</v>
      </c>
      <c r="K25" s="9">
        <f t="shared" si="21"/>
        <v>284821288.45789135</v>
      </c>
      <c r="L25" s="9">
        <f t="shared" si="21"/>
        <v>251592138.13780403</v>
      </c>
      <c r="M25" s="9">
        <f t="shared" si="21"/>
        <v>213350133.14085776</v>
      </c>
      <c r="N25" s="9">
        <f t="shared" si="21"/>
        <v>169613355.846982</v>
      </c>
      <c r="O25" s="9">
        <f t="shared" si="21"/>
        <v>119860104.7985339</v>
      </c>
      <c r="P25" s="9">
        <f t="shared" si="21"/>
        <v>63525855.543223038</v>
      </c>
      <c r="Q25" s="9">
        <f t="shared" si="21"/>
        <v>0</v>
      </c>
      <c r="R25" s="9">
        <f t="shared" si="21"/>
        <v>0</v>
      </c>
      <c r="S25" s="9">
        <f t="shared" si="21"/>
        <v>0</v>
      </c>
      <c r="T25" s="9">
        <f t="shared" si="21"/>
        <v>0</v>
      </c>
      <c r="U25" s="9">
        <f t="shared" si="21"/>
        <v>0</v>
      </c>
      <c r="V25" s="9">
        <f t="shared" si="21"/>
        <v>0</v>
      </c>
      <c r="W25" s="9">
        <f t="shared" si="21"/>
        <v>0</v>
      </c>
    </row>
    <row r="26" spans="2:23" ht="14.4">
      <c r="B26" s="1" t="s">
        <v>161</v>
      </c>
      <c r="C26" s="9">
        <f>C28*12</f>
        <v>648000000</v>
      </c>
      <c r="D26" s="9">
        <f t="shared" ref="D26:W26" si="22">D28*12</f>
        <v>801360000</v>
      </c>
      <c r="E26" s="9">
        <f t="shared" si="22"/>
        <v>970790400</v>
      </c>
      <c r="F26" s="9">
        <f t="shared" si="22"/>
        <v>1157667552.0000002</v>
      </c>
      <c r="G26" s="9">
        <f t="shared" si="22"/>
        <v>1363475116.8000004</v>
      </c>
      <c r="H26" s="9">
        <f t="shared" si="22"/>
        <v>1589811986.1888006</v>
      </c>
      <c r="I26" s="9">
        <f t="shared" si="22"/>
        <v>1838400769.4837766</v>
      </c>
      <c r="J26" s="9">
        <f t="shared" si="22"/>
        <v>2111096883.6238699</v>
      </c>
      <c r="K26" s="9">
        <f t="shared" si="22"/>
        <v>2409898288.6906338</v>
      </c>
      <c r="L26" s="9">
        <f t="shared" si="22"/>
        <v>2736955913.5843625</v>
      </c>
      <c r="M26" s="9">
        <f t="shared" si="22"/>
        <v>3094584819.6260529</v>
      </c>
      <c r="N26" s="9">
        <f t="shared" si="22"/>
        <v>3485276153.1038418</v>
      </c>
      <c r="O26" s="9">
        <f t="shared" si="22"/>
        <v>3911709941.248313</v>
      </c>
      <c r="P26" s="9">
        <f t="shared" si="22"/>
        <v>4376768789.8189449</v>
      </c>
      <c r="Q26" s="9">
        <f t="shared" si="22"/>
        <v>4883552544.4295607</v>
      </c>
      <c r="R26" s="9">
        <f t="shared" si="22"/>
        <v>5176565697.095335</v>
      </c>
      <c r="S26" s="9">
        <f t="shared" si="22"/>
        <v>5487159638.9210548</v>
      </c>
      <c r="T26" s="9">
        <f t="shared" si="22"/>
        <v>5816389217.256319</v>
      </c>
      <c r="U26" s="9">
        <f t="shared" si="22"/>
        <v>6165372570.2916985</v>
      </c>
      <c r="V26" s="9">
        <f t="shared" si="22"/>
        <v>6535294924.509201</v>
      </c>
      <c r="W26" s="9">
        <f t="shared" si="22"/>
        <v>6927412619.9797525</v>
      </c>
    </row>
    <row r="27" spans="2:23" ht="14.4">
      <c r="B27" s="1" t="s">
        <v>165</v>
      </c>
      <c r="C27" s="9">
        <f>C21*($F$8*C23)</f>
        <v>34747300</v>
      </c>
      <c r="D27" s="9">
        <f t="shared" ref="D27:W27" si="23">D21*($F$8*D23)</f>
        <v>34201271</v>
      </c>
      <c r="E27" s="9">
        <f t="shared" si="23"/>
        <v>33464628.240000006</v>
      </c>
      <c r="F27" s="9">
        <f t="shared" si="23"/>
        <v>32516463.773200009</v>
      </c>
      <c r="G27" s="9">
        <f t="shared" si="23"/>
        <v>31334046.908720005</v>
      </c>
      <c r="H27" s="9">
        <f t="shared" si="23"/>
        <v>29892680.750918884</v>
      </c>
      <c r="I27" s="9">
        <f t="shared" si="23"/>
        <v>28165548.085310243</v>
      </c>
      <c r="J27" s="9">
        <f t="shared" si="23"/>
        <v>26123545.849125251</v>
      </c>
      <c r="K27" s="9">
        <f t="shared" si="23"/>
        <v>23735107.371490948</v>
      </c>
      <c r="L27" s="9">
        <f t="shared" si="23"/>
        <v>20966011.511483669</v>
      </c>
      <c r="M27" s="9">
        <f t="shared" si="23"/>
        <v>17779177.761738148</v>
      </c>
      <c r="N27" s="9">
        <f t="shared" si="23"/>
        <v>14134446.320581833</v>
      </c>
      <c r="O27" s="9">
        <f t="shared" si="23"/>
        <v>9988342.0665444918</v>
      </c>
      <c r="P27" s="9">
        <f t="shared" si="23"/>
        <v>5293821.2952685868</v>
      </c>
      <c r="Q27" s="9">
        <f t="shared" si="23"/>
        <v>0</v>
      </c>
      <c r="R27" s="9">
        <f t="shared" si="23"/>
        <v>0</v>
      </c>
      <c r="S27" s="9">
        <f t="shared" si="23"/>
        <v>0</v>
      </c>
      <c r="T27" s="9">
        <f t="shared" si="23"/>
        <v>0</v>
      </c>
      <c r="U27" s="9">
        <f t="shared" si="23"/>
        <v>0</v>
      </c>
      <c r="V27" s="9">
        <f t="shared" si="23"/>
        <v>0</v>
      </c>
      <c r="W27" s="9">
        <f t="shared" si="23"/>
        <v>0</v>
      </c>
    </row>
    <row r="28" spans="2:23" ht="14.4">
      <c r="B28" s="1" t="s">
        <v>166</v>
      </c>
      <c r="C28" s="9">
        <f>C22*($F$8*C24)</f>
        <v>54000000</v>
      </c>
      <c r="D28" s="9">
        <f t="shared" ref="D28:W28" si="24">D22*($F$8*D24)</f>
        <v>66780000</v>
      </c>
      <c r="E28" s="9">
        <f t="shared" si="24"/>
        <v>80899200</v>
      </c>
      <c r="F28" s="9">
        <f t="shared" si="24"/>
        <v>96472296.000000015</v>
      </c>
      <c r="G28" s="9">
        <f t="shared" si="24"/>
        <v>113622926.40000004</v>
      </c>
      <c r="H28" s="9">
        <f t="shared" si="24"/>
        <v>132484332.18240005</v>
      </c>
      <c r="I28" s="9">
        <f t="shared" si="24"/>
        <v>153200064.12364805</v>
      </c>
      <c r="J28" s="9">
        <f t="shared" si="24"/>
        <v>175924740.30198917</v>
      </c>
      <c r="K28" s="9">
        <f t="shared" si="24"/>
        <v>200824857.39088613</v>
      </c>
      <c r="L28" s="9">
        <f t="shared" si="24"/>
        <v>228079659.46536353</v>
      </c>
      <c r="M28" s="9">
        <f t="shared" si="24"/>
        <v>257882068.30217105</v>
      </c>
      <c r="N28" s="9">
        <f t="shared" si="24"/>
        <v>290439679.42532015</v>
      </c>
      <c r="O28" s="9">
        <f t="shared" si="24"/>
        <v>325975828.43735939</v>
      </c>
      <c r="P28" s="9">
        <f t="shared" si="24"/>
        <v>364730732.4849121</v>
      </c>
      <c r="Q28" s="9">
        <f t="shared" si="24"/>
        <v>406962712.0357967</v>
      </c>
      <c r="R28" s="9">
        <f t="shared" si="24"/>
        <v>431380474.75794458</v>
      </c>
      <c r="S28" s="9">
        <f t="shared" si="24"/>
        <v>457263303.24342126</v>
      </c>
      <c r="T28" s="9">
        <f t="shared" si="24"/>
        <v>484699101.43802655</v>
      </c>
      <c r="U28" s="9">
        <f t="shared" si="24"/>
        <v>513781047.5243082</v>
      </c>
      <c r="V28" s="9">
        <f t="shared" si="24"/>
        <v>544607910.37576675</v>
      </c>
      <c r="W28" s="9">
        <f t="shared" si="24"/>
        <v>577284384.99831271</v>
      </c>
    </row>
    <row r="29" spans="2:23" ht="14.4">
      <c r="B29" s="1" t="s">
        <v>167</v>
      </c>
      <c r="C29" s="9">
        <f>C25+C26</f>
        <v>1064967600</v>
      </c>
      <c r="D29" s="9">
        <f t="shared" ref="D29:W29" si="25">D25+D26</f>
        <v>1211775252</v>
      </c>
      <c r="E29" s="9">
        <f t="shared" si="25"/>
        <v>1372365938.8800001</v>
      </c>
      <c r="F29" s="9">
        <f t="shared" si="25"/>
        <v>1547865117.2784004</v>
      </c>
      <c r="G29" s="9">
        <f t="shared" si="25"/>
        <v>1739483679.7046404</v>
      </c>
      <c r="H29" s="9">
        <f t="shared" si="25"/>
        <v>1948524155.1998272</v>
      </c>
      <c r="I29" s="9">
        <f t="shared" si="25"/>
        <v>2176387346.5074997</v>
      </c>
      <c r="J29" s="9">
        <f t="shared" si="25"/>
        <v>2424579433.8133731</v>
      </c>
      <c r="K29" s="9">
        <f t="shared" si="25"/>
        <v>2694719577.1485252</v>
      </c>
      <c r="L29" s="9">
        <f t="shared" si="25"/>
        <v>2988548051.7221665</v>
      </c>
      <c r="M29" s="9">
        <f t="shared" si="25"/>
        <v>3307934952.7669106</v>
      </c>
      <c r="N29" s="9">
        <f t="shared" si="25"/>
        <v>3654889508.9508238</v>
      </c>
      <c r="O29" s="9">
        <f t="shared" si="25"/>
        <v>4031570046.0468469</v>
      </c>
      <c r="P29" s="9">
        <f t="shared" si="25"/>
        <v>4440294645.3621683</v>
      </c>
      <c r="Q29" s="9">
        <f t="shared" si="25"/>
        <v>4883552544.4295607</v>
      </c>
      <c r="R29" s="9">
        <f t="shared" si="25"/>
        <v>5176565697.095335</v>
      </c>
      <c r="S29" s="9">
        <f t="shared" si="25"/>
        <v>5487159638.9210548</v>
      </c>
      <c r="T29" s="9">
        <f t="shared" si="25"/>
        <v>5816389217.256319</v>
      </c>
      <c r="U29" s="9">
        <f t="shared" si="25"/>
        <v>6165372570.2916985</v>
      </c>
      <c r="V29" s="9">
        <f t="shared" si="25"/>
        <v>6535294924.509201</v>
      </c>
      <c r="W29" s="9">
        <f t="shared" si="25"/>
        <v>6927412619.9797525</v>
      </c>
    </row>
    <row r="30" spans="2:23" ht="14.4">
      <c r="B30" s="1" t="s">
        <v>168</v>
      </c>
      <c r="C30" s="9">
        <f>C28+C27</f>
        <v>88747300</v>
      </c>
      <c r="D30" s="9">
        <f t="shared" ref="D30:W30" si="26">D28+D27</f>
        <v>100981271</v>
      </c>
      <c r="E30" s="9">
        <f t="shared" si="26"/>
        <v>114363828.24000001</v>
      </c>
      <c r="F30" s="9">
        <f t="shared" si="26"/>
        <v>128988759.77320002</v>
      </c>
      <c r="G30" s="9">
        <f t="shared" si="26"/>
        <v>144956973.30872005</v>
      </c>
      <c r="H30" s="9">
        <f t="shared" si="26"/>
        <v>162377012.93331894</v>
      </c>
      <c r="I30" s="9">
        <f t="shared" si="26"/>
        <v>181365612.2089583</v>
      </c>
      <c r="J30" s="9">
        <f t="shared" si="26"/>
        <v>202048286.1511144</v>
      </c>
      <c r="K30" s="9">
        <f t="shared" si="26"/>
        <v>224559964.76237708</v>
      </c>
      <c r="L30" s="9">
        <f t="shared" si="26"/>
        <v>249045670.9768472</v>
      </c>
      <c r="M30" s="9">
        <f t="shared" si="26"/>
        <v>275661246.06390917</v>
      </c>
      <c r="N30" s="9">
        <f t="shared" si="26"/>
        <v>304574125.745902</v>
      </c>
      <c r="O30" s="9">
        <f t="shared" si="26"/>
        <v>335964170.50390387</v>
      </c>
      <c r="P30" s="9">
        <f t="shared" si="26"/>
        <v>370024553.78018069</v>
      </c>
      <c r="Q30" s="9">
        <f t="shared" si="26"/>
        <v>406962712.0357967</v>
      </c>
      <c r="R30" s="9">
        <f t="shared" si="26"/>
        <v>431380474.75794458</v>
      </c>
      <c r="S30" s="9">
        <f t="shared" si="26"/>
        <v>457263303.24342126</v>
      </c>
      <c r="T30" s="9">
        <f t="shared" si="26"/>
        <v>484699101.43802655</v>
      </c>
      <c r="U30" s="9">
        <f t="shared" si="26"/>
        <v>513781047.5243082</v>
      </c>
      <c r="V30" s="9">
        <f t="shared" si="26"/>
        <v>544607910.37576675</v>
      </c>
      <c r="W30" s="9">
        <f t="shared" si="26"/>
        <v>577284384.99831271</v>
      </c>
    </row>
    <row r="31" spans="2:23">
      <c r="B31" s="1" t="s">
        <v>77</v>
      </c>
      <c r="C31" s="35">
        <v>7.4999999999999997E-3</v>
      </c>
      <c r="D31" s="32">
        <f t="shared" ref="D31:W31" si="27">C31</f>
        <v>7.4999999999999997E-3</v>
      </c>
      <c r="E31" s="32">
        <f t="shared" si="27"/>
        <v>7.4999999999999997E-3</v>
      </c>
      <c r="F31" s="32">
        <f t="shared" si="27"/>
        <v>7.4999999999999997E-3</v>
      </c>
      <c r="G31" s="32">
        <f t="shared" si="27"/>
        <v>7.4999999999999997E-3</v>
      </c>
      <c r="H31" s="32">
        <f t="shared" si="27"/>
        <v>7.4999999999999997E-3</v>
      </c>
      <c r="I31" s="32">
        <f t="shared" si="27"/>
        <v>7.4999999999999997E-3</v>
      </c>
      <c r="J31" s="32">
        <f t="shared" si="27"/>
        <v>7.4999999999999997E-3</v>
      </c>
      <c r="K31" s="32">
        <f t="shared" si="27"/>
        <v>7.4999999999999997E-3</v>
      </c>
      <c r="L31" s="32">
        <f t="shared" si="27"/>
        <v>7.4999999999999997E-3</v>
      </c>
      <c r="M31" s="32">
        <f t="shared" si="27"/>
        <v>7.4999999999999997E-3</v>
      </c>
      <c r="N31" s="32">
        <f t="shared" si="27"/>
        <v>7.4999999999999997E-3</v>
      </c>
      <c r="O31" s="32">
        <f t="shared" si="27"/>
        <v>7.4999999999999997E-3</v>
      </c>
      <c r="P31" s="32">
        <f t="shared" si="27"/>
        <v>7.4999999999999997E-3</v>
      </c>
      <c r="Q31" s="32">
        <f t="shared" si="27"/>
        <v>7.4999999999999997E-3</v>
      </c>
      <c r="R31" s="32">
        <f t="shared" si="27"/>
        <v>7.4999999999999997E-3</v>
      </c>
      <c r="S31" s="32">
        <f t="shared" si="27"/>
        <v>7.4999999999999997E-3</v>
      </c>
      <c r="T31" s="32">
        <f t="shared" si="27"/>
        <v>7.4999999999999997E-3</v>
      </c>
      <c r="U31" s="32">
        <f t="shared" si="27"/>
        <v>7.4999999999999997E-3</v>
      </c>
      <c r="V31" s="32">
        <f t="shared" si="27"/>
        <v>7.4999999999999997E-3</v>
      </c>
      <c r="W31" s="32">
        <f t="shared" si="27"/>
        <v>7.4999999999999997E-3</v>
      </c>
    </row>
    <row r="32" spans="2:23">
      <c r="B32" s="1" t="s">
        <v>79</v>
      </c>
      <c r="C32" s="9">
        <f>C29*C31</f>
        <v>7987257</v>
      </c>
      <c r="D32" s="9">
        <f t="shared" ref="D32:W32" si="28">D29*D31</f>
        <v>9088314.3899999987</v>
      </c>
      <c r="E32" s="9">
        <f t="shared" si="28"/>
        <v>10292744.5416</v>
      </c>
      <c r="F32" s="9">
        <f t="shared" si="28"/>
        <v>11608988.379588002</v>
      </c>
      <c r="G32" s="9">
        <f t="shared" si="28"/>
        <v>13046127.597784802</v>
      </c>
      <c r="H32" s="9">
        <f t="shared" si="28"/>
        <v>14613931.163998703</v>
      </c>
      <c r="I32" s="9">
        <f t="shared" si="28"/>
        <v>16322905.098806247</v>
      </c>
      <c r="J32" s="9">
        <f t="shared" si="28"/>
        <v>18184345.753600296</v>
      </c>
      <c r="K32" s="9">
        <f t="shared" si="28"/>
        <v>20210396.828613937</v>
      </c>
      <c r="L32" s="9">
        <f t="shared" si="28"/>
        <v>22414110.387916248</v>
      </c>
      <c r="M32" s="9">
        <f t="shared" si="28"/>
        <v>24809512.145751826</v>
      </c>
      <c r="N32" s="9">
        <f t="shared" si="28"/>
        <v>27411671.317131177</v>
      </c>
      <c r="O32" s="9">
        <f t="shared" si="28"/>
        <v>30236775.34535135</v>
      </c>
      <c r="P32" s="9">
        <f t="shared" si="28"/>
        <v>33302209.84021626</v>
      </c>
      <c r="Q32" s="9">
        <f t="shared" si="28"/>
        <v>36626644.083221704</v>
      </c>
      <c r="R32" s="9">
        <f t="shared" si="28"/>
        <v>38824242.728215009</v>
      </c>
      <c r="S32" s="9">
        <f t="shared" si="28"/>
        <v>41153697.291907907</v>
      </c>
      <c r="T32" s="9">
        <f t="shared" si="28"/>
        <v>43622919.129422389</v>
      </c>
      <c r="U32" s="9">
        <f t="shared" si="28"/>
        <v>46240294.277187735</v>
      </c>
      <c r="V32" s="9">
        <f t="shared" si="28"/>
        <v>49014711.933819003</v>
      </c>
      <c r="W32" s="9">
        <f t="shared" si="28"/>
        <v>51955594.649848141</v>
      </c>
    </row>
    <row r="33" spans="2:23">
      <c r="B33" s="1" t="s">
        <v>81</v>
      </c>
      <c r="C33" s="9">
        <f>C32/12</f>
        <v>665604.75</v>
      </c>
      <c r="D33" s="9">
        <f t="shared" ref="D33:W33" si="29">D32/12</f>
        <v>757359.53249999986</v>
      </c>
      <c r="E33" s="9">
        <f t="shared" si="29"/>
        <v>857728.71180000005</v>
      </c>
      <c r="F33" s="9">
        <f t="shared" si="29"/>
        <v>967415.69829900016</v>
      </c>
      <c r="G33" s="9">
        <f t="shared" si="29"/>
        <v>1087177.2998154003</v>
      </c>
      <c r="H33" s="9">
        <f t="shared" si="29"/>
        <v>1217827.5969998918</v>
      </c>
      <c r="I33" s="9">
        <f t="shared" si="29"/>
        <v>1360242.0915671873</v>
      </c>
      <c r="J33" s="9">
        <f t="shared" si="29"/>
        <v>1515362.1461333579</v>
      </c>
      <c r="K33" s="9">
        <f t="shared" si="29"/>
        <v>1684199.7357178282</v>
      </c>
      <c r="L33" s="9">
        <f t="shared" si="29"/>
        <v>1867842.5323263539</v>
      </c>
      <c r="M33" s="9">
        <f t="shared" si="29"/>
        <v>2067459.3454793189</v>
      </c>
      <c r="N33" s="9">
        <f t="shared" si="29"/>
        <v>2284305.9430942647</v>
      </c>
      <c r="O33" s="9">
        <f t="shared" si="29"/>
        <v>2519731.278779279</v>
      </c>
      <c r="P33" s="9">
        <f t="shared" si="29"/>
        <v>2775184.1533513549</v>
      </c>
      <c r="Q33" s="9">
        <f t="shared" si="29"/>
        <v>3052220.3402684755</v>
      </c>
      <c r="R33" s="9">
        <f t="shared" si="29"/>
        <v>3235353.5606845841</v>
      </c>
      <c r="S33" s="9">
        <f t="shared" si="29"/>
        <v>3429474.774325659</v>
      </c>
      <c r="T33" s="9">
        <f t="shared" si="29"/>
        <v>3635243.2607851992</v>
      </c>
      <c r="U33" s="9">
        <f t="shared" si="29"/>
        <v>3853357.8564323112</v>
      </c>
      <c r="V33" s="9">
        <f t="shared" si="29"/>
        <v>4084559.3278182503</v>
      </c>
      <c r="W33" s="9">
        <f t="shared" si="29"/>
        <v>4329632.8874873454</v>
      </c>
    </row>
    <row r="36" spans="2:23">
      <c r="B36" s="68" t="s">
        <v>96</v>
      </c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1"/>
    </row>
    <row r="37" spans="2:23">
      <c r="B37" s="36" t="s">
        <v>97</v>
      </c>
      <c r="C37" s="36" t="s">
        <v>98</v>
      </c>
      <c r="D37" s="36" t="s">
        <v>99</v>
      </c>
      <c r="E37" s="36" t="s">
        <v>100</v>
      </c>
      <c r="F37" s="36" t="s">
        <v>101</v>
      </c>
      <c r="G37" s="36" t="s">
        <v>102</v>
      </c>
      <c r="H37" s="36" t="s">
        <v>103</v>
      </c>
      <c r="I37" s="36" t="s">
        <v>104</v>
      </c>
      <c r="J37" s="36" t="s">
        <v>105</v>
      </c>
      <c r="K37" s="36" t="s">
        <v>106</v>
      </c>
      <c r="L37" s="36" t="s">
        <v>107</v>
      </c>
      <c r="M37" s="36" t="s">
        <v>108</v>
      </c>
      <c r="N37" s="36" t="s">
        <v>109</v>
      </c>
    </row>
    <row r="38" spans="2:23">
      <c r="B38" s="53" t="s">
        <v>110</v>
      </c>
      <c r="C38" s="37">
        <v>595.05999999999995</v>
      </c>
      <c r="D38" s="37">
        <v>617.86</v>
      </c>
      <c r="E38" s="37">
        <v>675.62</v>
      </c>
      <c r="F38" s="37">
        <v>881.59</v>
      </c>
      <c r="G38" s="37">
        <v>407.7</v>
      </c>
      <c r="H38" s="37">
        <v>424.82</v>
      </c>
      <c r="I38" s="37">
        <v>456.83</v>
      </c>
      <c r="J38" s="37">
        <v>647.05999999999995</v>
      </c>
      <c r="K38" s="37">
        <v>903.01</v>
      </c>
      <c r="L38" s="37">
        <v>2008.64</v>
      </c>
      <c r="M38" s="37">
        <v>1496.09</v>
      </c>
      <c r="N38" s="37">
        <v>889.21</v>
      </c>
      <c r="O38" s="38">
        <f>(AVERAGE(C38:N38))</f>
        <v>833.62416666666684</v>
      </c>
    </row>
    <row r="39" spans="2:23" ht="14.4">
      <c r="B39" s="1" t="s">
        <v>76</v>
      </c>
      <c r="C39" s="22">
        <f>F8*C38</f>
        <v>59505999.999999993</v>
      </c>
      <c r="D39" s="22">
        <f>100000*D38</f>
        <v>61786000</v>
      </c>
      <c r="E39" s="22">
        <f>100000*E38</f>
        <v>67562000</v>
      </c>
      <c r="F39" s="22">
        <f>100000*F38</f>
        <v>88159000</v>
      </c>
      <c r="G39" s="22">
        <f>100000*G38</f>
        <v>40770000</v>
      </c>
      <c r="H39" s="22">
        <f>100000*H38</f>
        <v>42482000</v>
      </c>
      <c r="I39" s="22">
        <f>100000*I38</f>
        <v>45683000</v>
      </c>
      <c r="J39" s="22">
        <f>100000*J38</f>
        <v>64705999.999999993</v>
      </c>
      <c r="K39" s="22">
        <f>100000*K38</f>
        <v>90301000</v>
      </c>
      <c r="L39" s="22">
        <f>100000*L38</f>
        <v>200864000</v>
      </c>
      <c r="M39" s="22">
        <f>100000*M38</f>
        <v>149609000</v>
      </c>
      <c r="N39" s="22">
        <f>100000*N38</f>
        <v>88921000</v>
      </c>
    </row>
    <row r="40" spans="2:23">
      <c r="B40" s="1" t="s">
        <v>77</v>
      </c>
      <c r="C40" s="35">
        <v>7.4999999999999997E-3</v>
      </c>
      <c r="D40" s="32">
        <f t="shared" ref="D40:N40" si="30">C40</f>
        <v>7.4999999999999997E-3</v>
      </c>
      <c r="E40" s="32">
        <f t="shared" si="30"/>
        <v>7.4999999999999997E-3</v>
      </c>
      <c r="F40" s="32">
        <f t="shared" si="30"/>
        <v>7.4999999999999997E-3</v>
      </c>
      <c r="G40" s="32">
        <f t="shared" si="30"/>
        <v>7.4999999999999997E-3</v>
      </c>
      <c r="H40" s="32">
        <f t="shared" si="30"/>
        <v>7.4999999999999997E-3</v>
      </c>
      <c r="I40" s="32">
        <f t="shared" si="30"/>
        <v>7.4999999999999997E-3</v>
      </c>
      <c r="J40" s="32">
        <f t="shared" si="30"/>
        <v>7.4999999999999997E-3</v>
      </c>
      <c r="K40" s="32">
        <f t="shared" si="30"/>
        <v>7.4999999999999997E-3</v>
      </c>
      <c r="L40" s="32">
        <f t="shared" si="30"/>
        <v>7.4999999999999997E-3</v>
      </c>
      <c r="M40" s="32">
        <f t="shared" si="30"/>
        <v>7.4999999999999997E-3</v>
      </c>
      <c r="N40" s="32">
        <f t="shared" si="30"/>
        <v>7.4999999999999997E-3</v>
      </c>
    </row>
    <row r="41" spans="2:23" ht="14.4">
      <c r="B41" s="1" t="s">
        <v>81</v>
      </c>
      <c r="C41" s="9">
        <f>C39*C40</f>
        <v>446294.99999999994</v>
      </c>
      <c r="D41" s="9">
        <f>D39*D40</f>
        <v>463395</v>
      </c>
      <c r="E41" s="9">
        <f>E39*E40</f>
        <v>506715</v>
      </c>
      <c r="F41" s="9">
        <f>F39*F40</f>
        <v>661192.5</v>
      </c>
      <c r="G41" s="9">
        <f>G39*G40</f>
        <v>305775</v>
      </c>
      <c r="H41" s="9">
        <f>H39*H40</f>
        <v>318615</v>
      </c>
      <c r="I41" s="9">
        <f>I39*I40</f>
        <v>342622.5</v>
      </c>
      <c r="J41" s="9">
        <f>J39*J40</f>
        <v>485294.99999999994</v>
      </c>
      <c r="K41" s="9">
        <f>K39*K40</f>
        <v>677257.5</v>
      </c>
      <c r="L41" s="9">
        <f>L39*L40</f>
        <v>1506480</v>
      </c>
      <c r="M41" s="9">
        <f>M39*M40</f>
        <v>1122067.5</v>
      </c>
      <c r="N41" s="9">
        <f>N39*N40</f>
        <v>666907.5</v>
      </c>
    </row>
    <row r="42" spans="2:23" ht="14.4">
      <c r="B42" s="53" t="s">
        <v>112</v>
      </c>
      <c r="C42" s="32">
        <f>C41/C8</f>
        <v>8.1144545454545445E-3</v>
      </c>
      <c r="D42" s="32">
        <f>D41/C8</f>
        <v>8.4253636363636371E-3</v>
      </c>
      <c r="E42" s="32">
        <f>E41/C8</f>
        <v>9.2130000000000007E-3</v>
      </c>
      <c r="F42" s="32">
        <f>F41/C8</f>
        <v>1.2021681818181819E-2</v>
      </c>
      <c r="G42" s="32">
        <f>G41/C8</f>
        <v>5.5595454545454542E-3</v>
      </c>
      <c r="H42" s="32">
        <f>H41/C8</f>
        <v>5.7930000000000004E-3</v>
      </c>
      <c r="I42" s="32">
        <f>I41/C8</f>
        <v>6.2294999999999998E-3</v>
      </c>
      <c r="J42" s="32">
        <f>J41/C8</f>
        <v>8.8235454545454537E-3</v>
      </c>
      <c r="K42" s="32">
        <f>K41/C8</f>
        <v>1.2313772727272727E-2</v>
      </c>
      <c r="L42" s="32">
        <f>L41/C8</f>
        <v>2.7390545454545456E-2</v>
      </c>
      <c r="M42" s="32">
        <f>M41/C8</f>
        <v>2.0401227272727272E-2</v>
      </c>
      <c r="N42" s="32">
        <f>N41/C8</f>
        <v>1.2125590909090909E-2</v>
      </c>
      <c r="O42" s="30" t="s">
        <v>113</v>
      </c>
    </row>
    <row r="43" spans="2:23" ht="14.4">
      <c r="B43" s="53" t="s">
        <v>117</v>
      </c>
      <c r="C43" s="9">
        <f>SUM(C41:N41)</f>
        <v>7502617.5</v>
      </c>
    </row>
    <row r="44" spans="2:23">
      <c r="C44" s="5"/>
    </row>
    <row r="47" spans="2:23">
      <c r="B47" s="68" t="s">
        <v>158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1"/>
    </row>
    <row r="48" spans="2:23">
      <c r="B48" s="36" t="s">
        <v>97</v>
      </c>
      <c r="C48" s="36" t="s">
        <v>98</v>
      </c>
      <c r="D48" s="36" t="s">
        <v>99</v>
      </c>
      <c r="E48" s="36" t="s">
        <v>100</v>
      </c>
      <c r="F48" s="36" t="s">
        <v>101</v>
      </c>
      <c r="G48" s="36" t="s">
        <v>102</v>
      </c>
      <c r="H48" s="36" t="s">
        <v>103</v>
      </c>
      <c r="I48" s="36" t="s">
        <v>104</v>
      </c>
      <c r="J48" s="36" t="s">
        <v>105</v>
      </c>
      <c r="K48" s="36" t="s">
        <v>106</v>
      </c>
      <c r="L48" s="36" t="s">
        <v>107</v>
      </c>
      <c r="M48" s="36" t="s">
        <v>108</v>
      </c>
      <c r="N48" s="36" t="s">
        <v>109</v>
      </c>
    </row>
    <row r="49" spans="2:15">
      <c r="B49" s="53" t="s">
        <v>110</v>
      </c>
      <c r="C49" s="37">
        <v>643.65483870967705</v>
      </c>
      <c r="D49" s="37">
        <v>625.32785714285717</v>
      </c>
      <c r="E49" s="37">
        <v>478.64387096774198</v>
      </c>
      <c r="F49" s="37">
        <v>369.01799999999997</v>
      </c>
      <c r="G49" s="37">
        <v>360.66225806451604</v>
      </c>
      <c r="H49" s="37">
        <v>182.51200000000009</v>
      </c>
      <c r="I49" s="37">
        <v>406.92064516129039</v>
      </c>
      <c r="J49" s="37">
        <v>724.94129032258058</v>
      </c>
      <c r="K49" s="37">
        <v>782.70699999999999</v>
      </c>
      <c r="L49" s="37">
        <v>423.68161290322593</v>
      </c>
      <c r="M49" s="37">
        <v>609.99166666666656</v>
      </c>
      <c r="N49" s="37">
        <v>348.59838709677422</v>
      </c>
      <c r="O49" s="37">
        <f>AVERAGE(C49:N49)</f>
        <v>496.3882855862775</v>
      </c>
    </row>
    <row r="50" spans="2:15" ht="14.4">
      <c r="B50" s="1" t="s">
        <v>76</v>
      </c>
      <c r="C50" s="22">
        <f>100000*C49</f>
        <v>64365483.870967709</v>
      </c>
      <c r="D50" s="22">
        <f>100000*D49</f>
        <v>62532785.714285716</v>
      </c>
      <c r="E50" s="22">
        <f>100000*E49</f>
        <v>47864387.096774198</v>
      </c>
      <c r="F50" s="22">
        <f>100000*F49</f>
        <v>36901800</v>
      </c>
      <c r="G50" s="22">
        <f>100000*G49</f>
        <v>36066225.806451604</v>
      </c>
      <c r="H50" s="22">
        <f>100000*H49</f>
        <v>18251200.000000007</v>
      </c>
      <c r="I50" s="22">
        <f>100000*I49</f>
        <v>40692064.516129039</v>
      </c>
      <c r="J50" s="22">
        <f>100000*J49</f>
        <v>72494129.032258064</v>
      </c>
      <c r="K50" s="22">
        <f>100000*K49</f>
        <v>78270700</v>
      </c>
      <c r="L50" s="22">
        <f>100000*L49</f>
        <v>42368161.290322594</v>
      </c>
      <c r="M50" s="22">
        <f>100000*M49</f>
        <v>60999166.666666657</v>
      </c>
      <c r="N50" s="22">
        <f>100000*N49</f>
        <v>34859838.709677421</v>
      </c>
    </row>
    <row r="51" spans="2:15">
      <c r="B51" s="1" t="s">
        <v>77</v>
      </c>
      <c r="C51" s="35">
        <v>7.4999999999999997E-3</v>
      </c>
      <c r="D51" s="32">
        <f t="shared" ref="D51:N51" si="31">C51</f>
        <v>7.4999999999999997E-3</v>
      </c>
      <c r="E51" s="32">
        <f t="shared" si="31"/>
        <v>7.4999999999999997E-3</v>
      </c>
      <c r="F51" s="32">
        <f t="shared" si="31"/>
        <v>7.4999999999999997E-3</v>
      </c>
      <c r="G51" s="32">
        <f t="shared" si="31"/>
        <v>7.4999999999999997E-3</v>
      </c>
      <c r="H51" s="32">
        <f t="shared" si="31"/>
        <v>7.4999999999999997E-3</v>
      </c>
      <c r="I51" s="32">
        <f t="shared" si="31"/>
        <v>7.4999999999999997E-3</v>
      </c>
      <c r="J51" s="32">
        <f t="shared" si="31"/>
        <v>7.4999999999999997E-3</v>
      </c>
      <c r="K51" s="32">
        <f t="shared" si="31"/>
        <v>7.4999999999999997E-3</v>
      </c>
      <c r="L51" s="32">
        <f t="shared" si="31"/>
        <v>7.4999999999999997E-3</v>
      </c>
      <c r="M51" s="32">
        <f t="shared" si="31"/>
        <v>7.4999999999999997E-3</v>
      </c>
      <c r="N51" s="32">
        <f t="shared" si="31"/>
        <v>7.4999999999999997E-3</v>
      </c>
    </row>
    <row r="52" spans="2:15" ht="14.4">
      <c r="B52" s="1" t="s">
        <v>81</v>
      </c>
      <c r="C52" s="9">
        <f>C50*C51</f>
        <v>482741.12903225777</v>
      </c>
      <c r="D52" s="9">
        <f>D50*D51</f>
        <v>468995.89285714284</v>
      </c>
      <c r="E52" s="9">
        <f>E50*E51</f>
        <v>358982.90322580648</v>
      </c>
      <c r="F52" s="9">
        <f>F50*F51</f>
        <v>276763.5</v>
      </c>
      <c r="G52" s="9">
        <f>G50*G51</f>
        <v>270496.69354838703</v>
      </c>
      <c r="H52" s="9">
        <f>H50*H51</f>
        <v>136884.00000000006</v>
      </c>
      <c r="I52" s="9">
        <f>I50*I51</f>
        <v>305190.48387096776</v>
      </c>
      <c r="J52" s="9">
        <f>J50*J51</f>
        <v>543705.96774193551</v>
      </c>
      <c r="K52" s="9">
        <f>K50*K51</f>
        <v>587030.25</v>
      </c>
      <c r="L52" s="9">
        <f>L50*L51</f>
        <v>317761.20967741945</v>
      </c>
      <c r="M52" s="9">
        <f>M50*M51</f>
        <v>457493.74999999988</v>
      </c>
      <c r="N52" s="9">
        <f>N50*N51</f>
        <v>261448.79032258064</v>
      </c>
    </row>
    <row r="53" spans="2:15" ht="14.4">
      <c r="B53" s="53" t="s">
        <v>112</v>
      </c>
      <c r="C53" s="32">
        <f>C52/C8</f>
        <v>8.7771114369501416E-3</v>
      </c>
      <c r="D53" s="32">
        <f>D52/C8</f>
        <v>8.5271980519480515E-3</v>
      </c>
      <c r="E53" s="32">
        <f>E52/C8</f>
        <v>6.5269618768328454E-3</v>
      </c>
      <c r="F53" s="32">
        <f>F52/C8</f>
        <v>5.0320636363636361E-3</v>
      </c>
      <c r="G53" s="32">
        <f>G52/C8</f>
        <v>4.9181217008797641E-3</v>
      </c>
      <c r="H53" s="32">
        <f>H52/C8</f>
        <v>2.4888000000000011E-3</v>
      </c>
      <c r="I53" s="32">
        <f>I52/C8</f>
        <v>5.54891788856305E-3</v>
      </c>
      <c r="J53" s="32">
        <f>J52/C8</f>
        <v>9.8855630498533732E-3</v>
      </c>
      <c r="K53" s="32">
        <f>K52/C8</f>
        <v>1.0673277272727273E-2</v>
      </c>
      <c r="L53" s="32">
        <f>L52/C8</f>
        <v>5.7774765395894444E-3</v>
      </c>
      <c r="M53" s="32">
        <f>M52/C8</f>
        <v>8.3180681818181799E-3</v>
      </c>
      <c r="N53" s="32">
        <f>N52/C8</f>
        <v>4.7536143695014665E-3</v>
      </c>
      <c r="O53" s="41">
        <f>SUM(C53:N53)</f>
        <v>8.1227174005027214E-2</v>
      </c>
    </row>
    <row r="54" spans="2:15" ht="14.4">
      <c r="B54" s="53" t="s">
        <v>117</v>
      </c>
      <c r="C54" s="9">
        <f t="shared" ref="C54" si="32">SUM(C52:N52)</f>
        <v>4467494.5702764969</v>
      </c>
    </row>
    <row r="56" spans="2:15">
      <c r="B56" s="66" t="s">
        <v>118</v>
      </c>
      <c r="C56" s="63"/>
      <c r="D56" s="63"/>
      <c r="E56" s="64"/>
      <c r="G56" s="43"/>
      <c r="H56" s="43"/>
    </row>
    <row r="57" spans="2:15">
      <c r="B57" s="36" t="s">
        <v>97</v>
      </c>
      <c r="C57" s="36" t="s">
        <v>119</v>
      </c>
      <c r="D57" s="36" t="s">
        <v>120</v>
      </c>
      <c r="E57" s="36" t="s">
        <v>121</v>
      </c>
      <c r="G57" s="43"/>
      <c r="H57" s="44"/>
    </row>
    <row r="58" spans="2:15">
      <c r="B58" s="36" t="s">
        <v>98</v>
      </c>
      <c r="C58" s="57">
        <f>C41</f>
        <v>446294.99999999994</v>
      </c>
      <c r="D58" s="58">
        <f>C52</f>
        <v>482741.12903225777</v>
      </c>
      <c r="E58" s="45">
        <f t="shared" ref="E58:E69" si="33">(D58/C58)-1</f>
        <v>8.1663762830096243E-2</v>
      </c>
      <c r="G58" s="43"/>
      <c r="H58" s="44"/>
    </row>
    <row r="59" spans="2:15">
      <c r="B59" s="36" t="s">
        <v>99</v>
      </c>
      <c r="C59" s="57">
        <f>D41</f>
        <v>463395</v>
      </c>
      <c r="D59" s="58">
        <f>D52</f>
        <v>468995.89285714284</v>
      </c>
      <c r="E59" s="45">
        <f t="shared" si="33"/>
        <v>1.2086649310292241E-2</v>
      </c>
      <c r="G59" s="43"/>
      <c r="H59" s="44"/>
    </row>
    <row r="60" spans="2:15">
      <c r="B60" s="36" t="s">
        <v>100</v>
      </c>
      <c r="C60" s="57">
        <f>E41</f>
        <v>506715</v>
      </c>
      <c r="D60" s="58">
        <f>E52</f>
        <v>358982.90322580648</v>
      </c>
      <c r="E60" s="45">
        <f t="shared" si="33"/>
        <v>-0.29154869458017529</v>
      </c>
      <c r="G60" s="43"/>
      <c r="H60" s="44"/>
    </row>
    <row r="61" spans="2:15">
      <c r="B61" s="36" t="s">
        <v>101</v>
      </c>
      <c r="C61" s="57">
        <f>F41</f>
        <v>661192.5</v>
      </c>
      <c r="D61" s="58">
        <f>F52</f>
        <v>276763.5</v>
      </c>
      <c r="E61" s="45">
        <f t="shared" si="33"/>
        <v>-0.58141766580836896</v>
      </c>
      <c r="G61" s="43"/>
      <c r="H61" s="44"/>
    </row>
    <row r="62" spans="2:15">
      <c r="B62" s="36" t="s">
        <v>102</v>
      </c>
      <c r="C62" s="57">
        <f>G41</f>
        <v>305775</v>
      </c>
      <c r="D62" s="58">
        <f>G52</f>
        <v>270496.69354838703</v>
      </c>
      <c r="E62" s="45">
        <f t="shared" si="33"/>
        <v>-0.11537341656974232</v>
      </c>
      <c r="G62" s="43"/>
      <c r="H62" s="44"/>
    </row>
    <row r="63" spans="2:15">
      <c r="B63" s="36" t="s">
        <v>103</v>
      </c>
      <c r="C63" s="57">
        <f>H41</f>
        <v>318615</v>
      </c>
      <c r="D63" s="58">
        <f>H52</f>
        <v>136884.00000000006</v>
      </c>
      <c r="E63" s="45">
        <f t="shared" si="33"/>
        <v>-0.57037804246504376</v>
      </c>
      <c r="G63" s="43"/>
      <c r="H63" s="44"/>
    </row>
    <row r="64" spans="2:15">
      <c r="B64" s="36" t="s">
        <v>104</v>
      </c>
      <c r="C64" s="57">
        <f>I41</f>
        <v>342622.5</v>
      </c>
      <c r="D64" s="58">
        <f>I52</f>
        <v>305190.48387096776</v>
      </c>
      <c r="E64" s="45">
        <f t="shared" si="33"/>
        <v>-0.10925148269314555</v>
      </c>
      <c r="G64" s="43"/>
      <c r="H64" s="44"/>
    </row>
    <row r="65" spans="1:22">
      <c r="B65" s="36" t="s">
        <v>105</v>
      </c>
      <c r="C65" s="57">
        <f>J41</f>
        <v>485294.99999999994</v>
      </c>
      <c r="D65" s="58">
        <f>J52</f>
        <v>543705.96774193551</v>
      </c>
      <c r="E65" s="45">
        <f t="shared" si="33"/>
        <v>0.12036177529530612</v>
      </c>
      <c r="G65" s="43"/>
      <c r="H65" s="44"/>
    </row>
    <row r="66" spans="1:22">
      <c r="B66" s="36" t="s">
        <v>106</v>
      </c>
      <c r="C66" s="57">
        <f>K41</f>
        <v>677257.5</v>
      </c>
      <c r="D66" s="58">
        <f>K52</f>
        <v>587030.25</v>
      </c>
      <c r="E66" s="45">
        <f t="shared" si="33"/>
        <v>-0.1332244382675718</v>
      </c>
      <c r="G66" s="43"/>
      <c r="H66" s="44"/>
    </row>
    <row r="67" spans="1:22">
      <c r="B67" s="36" t="s">
        <v>107</v>
      </c>
      <c r="C67" s="57">
        <f>L41</f>
        <v>1506480</v>
      </c>
      <c r="D67" s="58">
        <f>L52</f>
        <v>317761.20967741945</v>
      </c>
      <c r="E67" s="45">
        <f t="shared" si="33"/>
        <v>-0.78907040937986594</v>
      </c>
      <c r="G67" s="43"/>
      <c r="H67" s="44"/>
    </row>
    <row r="68" spans="1:22">
      <c r="B68" s="36" t="s">
        <v>108</v>
      </c>
      <c r="C68" s="57">
        <f>M41</f>
        <v>1122067.5</v>
      </c>
      <c r="D68" s="58">
        <f>M52</f>
        <v>457493.74999999988</v>
      </c>
      <c r="E68" s="45">
        <f t="shared" si="33"/>
        <v>-0.59227608855973468</v>
      </c>
      <c r="G68" s="43"/>
      <c r="H68" s="44"/>
    </row>
    <row r="69" spans="1:22">
      <c r="B69" s="36" t="s">
        <v>109</v>
      </c>
      <c r="C69" s="57">
        <f>N41</f>
        <v>666907.5</v>
      </c>
      <c r="D69" s="58">
        <f>N52</f>
        <v>261448.79032258064</v>
      </c>
      <c r="E69" s="45">
        <f t="shared" si="33"/>
        <v>-0.60796843591865346</v>
      </c>
    </row>
    <row r="73" spans="1:22">
      <c r="B73" s="46">
        <v>7497000</v>
      </c>
      <c r="C73" s="46">
        <v>7946820</v>
      </c>
      <c r="D73" s="46">
        <v>8423629.1999999993</v>
      </c>
      <c r="E73" s="46">
        <v>8929046.9520000014</v>
      </c>
      <c r="F73" s="46">
        <v>9464789.7691200022</v>
      </c>
      <c r="G73" s="46">
        <v>10032677.155267203</v>
      </c>
      <c r="H73" s="46">
        <v>10634637.784583235</v>
      </c>
      <c r="I73" s="46">
        <v>11272716.05165823</v>
      </c>
      <c r="J73" s="46">
        <v>11949079.014757724</v>
      </c>
      <c r="K73" s="46">
        <v>12666023.755643187</v>
      </c>
      <c r="L73" s="46">
        <v>13425985.180981779</v>
      </c>
      <c r="M73" s="46">
        <v>14231544.291840686</v>
      </c>
      <c r="N73" s="46">
        <v>15085436.949351128</v>
      </c>
      <c r="O73" s="46">
        <v>15990563.166312195</v>
      </c>
      <c r="P73" s="46">
        <v>16949996.956290931</v>
      </c>
      <c r="Q73" s="46">
        <v>17966996.773668386</v>
      </c>
      <c r="R73" s="46">
        <v>19045016.580088492</v>
      </c>
      <c r="S73" s="46">
        <v>20187717.574893799</v>
      </c>
      <c r="T73" s="46">
        <v>21398980.629387431</v>
      </c>
      <c r="U73" s="46">
        <v>22682919.467150677</v>
      </c>
      <c r="V73" s="46">
        <v>24043894.635179717</v>
      </c>
    </row>
    <row r="74" spans="1:22">
      <c r="B74" s="46">
        <v>5400000</v>
      </c>
      <c r="C74" s="46">
        <v>5724000</v>
      </c>
      <c r="D74" s="46">
        <v>6067440</v>
      </c>
      <c r="E74" s="46">
        <v>6431486.3999999994</v>
      </c>
      <c r="F74" s="46">
        <v>6817375.5839999998</v>
      </c>
      <c r="G74" s="46">
        <v>7226418.1190400003</v>
      </c>
      <c r="H74" s="46">
        <v>7660003.2061824016</v>
      </c>
      <c r="I74" s="46">
        <v>8119603.3985533454</v>
      </c>
      <c r="J74" s="46">
        <v>8606779.602466546</v>
      </c>
      <c r="K74" s="46">
        <v>9123186.3786145393</v>
      </c>
      <c r="L74" s="46">
        <v>9670577.5613314118</v>
      </c>
      <c r="M74" s="46">
        <v>10250812.215011297</v>
      </c>
      <c r="N74" s="46">
        <v>10865860.947911976</v>
      </c>
      <c r="O74" s="46">
        <v>11517812.604786694</v>
      </c>
      <c r="P74" s="46">
        <v>12208881.361073894</v>
      </c>
      <c r="Q74" s="46">
        <v>12941414.242738331</v>
      </c>
      <c r="R74" s="46">
        <v>13717899.097302631</v>
      </c>
      <c r="S74" s="46">
        <v>14540973.043140789</v>
      </c>
      <c r="T74" s="46">
        <v>15413431.425729237</v>
      </c>
      <c r="U74" s="46">
        <v>16338237.311272992</v>
      </c>
      <c r="V74" s="46">
        <v>17318531.54994937</v>
      </c>
    </row>
    <row r="75" spans="1:22">
      <c r="A75" s="47" t="s">
        <v>122</v>
      </c>
      <c r="B75" s="47" t="s">
        <v>123</v>
      </c>
      <c r="C75" s="47" t="s">
        <v>124</v>
      </c>
    </row>
    <row r="76" spans="1:22">
      <c r="A76" s="47">
        <v>1</v>
      </c>
      <c r="B76" s="48">
        <v>5400000</v>
      </c>
      <c r="C76" s="48">
        <v>7497000</v>
      </c>
    </row>
    <row r="77" spans="1:22">
      <c r="A77" s="47">
        <v>2</v>
      </c>
      <c r="B77" s="48">
        <v>5724000</v>
      </c>
      <c r="C77" s="48">
        <v>7946820</v>
      </c>
      <c r="E77" s="47" t="s">
        <v>122</v>
      </c>
      <c r="F77" s="47" t="s">
        <v>125</v>
      </c>
      <c r="G77" s="47">
        <v>2024</v>
      </c>
    </row>
    <row r="78" spans="1:22">
      <c r="A78" s="47">
        <v>3</v>
      </c>
      <c r="B78" s="48">
        <v>6067440</v>
      </c>
      <c r="C78" s="48">
        <v>8423629.1999999993</v>
      </c>
      <c r="E78" s="47">
        <v>1</v>
      </c>
      <c r="F78" s="48">
        <v>5400000</v>
      </c>
      <c r="G78" s="48">
        <v>7497000</v>
      </c>
    </row>
    <row r="79" spans="1:22">
      <c r="A79" s="47">
        <v>4</v>
      </c>
      <c r="B79" s="48">
        <v>6431486.3999999994</v>
      </c>
      <c r="C79" s="48">
        <v>8929046.9520000014</v>
      </c>
      <c r="E79" s="47">
        <v>3</v>
      </c>
      <c r="F79" s="48">
        <v>6067440</v>
      </c>
      <c r="G79" s="48">
        <v>8423629.1999999993</v>
      </c>
    </row>
    <row r="80" spans="1:22">
      <c r="A80" s="47">
        <v>5</v>
      </c>
      <c r="B80" s="48">
        <v>6817375.5839999998</v>
      </c>
      <c r="C80" s="48">
        <v>9464789.7691200022</v>
      </c>
      <c r="D80" s="47" t="s">
        <v>126</v>
      </c>
      <c r="E80" s="47">
        <v>6</v>
      </c>
      <c r="F80" s="48">
        <v>7226418.1190400003</v>
      </c>
      <c r="G80" s="48">
        <v>10032677.155267203</v>
      </c>
    </row>
    <row r="81" spans="1:7" ht="14.4">
      <c r="A81" s="47">
        <v>6</v>
      </c>
      <c r="B81" s="48">
        <v>7226418.1190400003</v>
      </c>
      <c r="C81" s="48">
        <v>10032677.155267203</v>
      </c>
      <c r="E81" s="47">
        <v>9</v>
      </c>
      <c r="F81" s="48">
        <v>8606779.602466546</v>
      </c>
      <c r="G81" s="48">
        <v>11949079.014757724</v>
      </c>
    </row>
    <row r="82" spans="1:7" ht="14.4">
      <c r="A82" s="47">
        <v>7</v>
      </c>
      <c r="B82" s="48">
        <v>7660003.2061824016</v>
      </c>
      <c r="C82" s="48">
        <v>10634637.784583235</v>
      </c>
      <c r="E82" s="47">
        <v>12</v>
      </c>
      <c r="F82" s="48">
        <v>10250812.215011297</v>
      </c>
      <c r="G82" s="48">
        <v>14231544.291840686</v>
      </c>
    </row>
    <row r="83" spans="1:7" ht="14.4">
      <c r="A83" s="47">
        <v>8</v>
      </c>
      <c r="B83" s="48">
        <v>8119603.3985533454</v>
      </c>
      <c r="C83" s="48">
        <v>11272716.05165823</v>
      </c>
      <c r="E83" s="47">
        <v>15</v>
      </c>
      <c r="F83" s="48">
        <v>12208881.361073894</v>
      </c>
      <c r="G83" s="48">
        <v>16949996.956290931</v>
      </c>
    </row>
    <row r="84" spans="1:7" ht="14.4">
      <c r="A84" s="47">
        <v>9</v>
      </c>
      <c r="B84" s="48">
        <v>8606779.602466546</v>
      </c>
      <c r="C84" s="48">
        <v>11949079.014757724</v>
      </c>
      <c r="E84" s="47">
        <v>18</v>
      </c>
      <c r="F84" s="48">
        <v>14540973.043140789</v>
      </c>
      <c r="G84" s="48">
        <v>20187717.574893799</v>
      </c>
    </row>
    <row r="85" spans="1:7" ht="14.4">
      <c r="A85" s="47">
        <v>10</v>
      </c>
      <c r="B85" s="48">
        <v>9123186.3786145393</v>
      </c>
      <c r="C85" s="48">
        <v>12666023.755643187</v>
      </c>
      <c r="E85" s="47">
        <v>21</v>
      </c>
      <c r="F85" s="48">
        <v>17318531.54994937</v>
      </c>
      <c r="G85" s="48">
        <v>24043894.635179717</v>
      </c>
    </row>
    <row r="86" spans="1:7" ht="14.4">
      <c r="A86" s="47">
        <v>11</v>
      </c>
      <c r="B86" s="48">
        <v>9670577.5613314118</v>
      </c>
      <c r="C86" s="48">
        <v>13425985.180981779</v>
      </c>
    </row>
    <row r="87" spans="1:7" ht="14.4">
      <c r="A87" s="47">
        <v>12</v>
      </c>
      <c r="B87" s="48">
        <v>10250812.215011297</v>
      </c>
      <c r="C87" s="48">
        <v>14231544.291840686</v>
      </c>
    </row>
    <row r="88" spans="1:7" ht="14.4">
      <c r="A88" s="47">
        <v>13</v>
      </c>
      <c r="B88" s="48">
        <v>10865860.947911976</v>
      </c>
      <c r="C88" s="48">
        <v>15085436.949351128</v>
      </c>
    </row>
    <row r="89" spans="1:7" ht="14.4">
      <c r="A89" s="47">
        <v>14</v>
      </c>
      <c r="B89" s="48">
        <v>11517812.604786694</v>
      </c>
      <c r="C89" s="48">
        <v>15990563.166312195</v>
      </c>
    </row>
    <row r="90" spans="1:7" ht="14.4">
      <c r="A90" s="47">
        <v>15</v>
      </c>
      <c r="B90" s="48">
        <v>12208881.361073894</v>
      </c>
      <c r="C90" s="48">
        <v>16949996.956290931</v>
      </c>
    </row>
    <row r="91" spans="1:7" ht="14.4">
      <c r="A91" s="47">
        <v>16</v>
      </c>
      <c r="B91" s="48">
        <v>12941414.242738331</v>
      </c>
      <c r="C91" s="48">
        <v>17966996.773668386</v>
      </c>
    </row>
    <row r="92" spans="1:7" ht="14.4">
      <c r="A92" s="47">
        <v>17</v>
      </c>
      <c r="B92" s="48">
        <v>13717899.097302631</v>
      </c>
      <c r="C92" s="48">
        <v>19045016.580088492</v>
      </c>
    </row>
    <row r="93" spans="1:7" ht="14.4">
      <c r="A93" s="47">
        <v>18</v>
      </c>
      <c r="B93" s="48">
        <v>14540973.043140789</v>
      </c>
      <c r="C93" s="48">
        <v>20187717.574893799</v>
      </c>
    </row>
    <row r="94" spans="1:7" ht="14.4">
      <c r="A94" s="47">
        <v>19</v>
      </c>
      <c r="B94" s="48">
        <v>15413431.425729237</v>
      </c>
      <c r="C94" s="48">
        <v>21398980.629387431</v>
      </c>
    </row>
    <row r="95" spans="1:7" ht="14.4">
      <c r="A95" s="47">
        <v>20</v>
      </c>
      <c r="B95" s="48">
        <v>16338237.311272992</v>
      </c>
      <c r="C95" s="48">
        <v>22682919.467150677</v>
      </c>
    </row>
    <row r="96" spans="1:7" ht="14.4">
      <c r="A96" s="47">
        <v>21</v>
      </c>
      <c r="B96" s="48">
        <v>17318531.54994937</v>
      </c>
      <c r="C96" s="48">
        <v>24043894.635179717</v>
      </c>
    </row>
    <row r="97" spans="2:3" ht="14.4">
      <c r="B97" s="48">
        <f t="shared" ref="B97:C97" si="34">SUM(B76:B96)</f>
        <v>215960724.04910544</v>
      </c>
      <c r="C97" s="48">
        <f t="shared" si="34"/>
        <v>299825471.88817477</v>
      </c>
    </row>
  </sheetData>
  <mergeCells count="6">
    <mergeCell ref="B2:I2"/>
    <mergeCell ref="B4:C4"/>
    <mergeCell ref="B19:W19"/>
    <mergeCell ref="B36:N36"/>
    <mergeCell ref="B47:N47"/>
    <mergeCell ref="B56:E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J28"/>
  <sheetViews>
    <sheetView zoomScale="85" zoomScaleNormal="85" workbookViewId="0">
      <selection activeCell="G7" sqref="G7"/>
    </sheetView>
  </sheetViews>
  <sheetFormatPr baseColWidth="10" defaultColWidth="14.44140625" defaultRowHeight="15" customHeight="1"/>
  <cols>
    <col min="1" max="1" width="5.88671875" customWidth="1"/>
    <col min="2" max="3" width="26.6640625" customWidth="1"/>
    <col min="4" max="4" width="11.33203125" customWidth="1"/>
    <col min="5" max="5" width="3.33203125" customWidth="1"/>
    <col min="6" max="7" width="21.109375" customWidth="1"/>
    <col min="8" max="8" width="13.5546875" customWidth="1"/>
    <col min="9" max="10" width="26.6640625" customWidth="1"/>
    <col min="11" max="22" width="27.33203125" customWidth="1"/>
  </cols>
  <sheetData>
    <row r="2" spans="2:10">
      <c r="B2" s="65" t="s">
        <v>48</v>
      </c>
      <c r="C2" s="63"/>
      <c r="D2" s="63"/>
      <c r="E2" s="63"/>
      <c r="F2" s="63"/>
      <c r="G2" s="63"/>
      <c r="H2" s="63"/>
      <c r="I2" s="63"/>
      <c r="J2" s="63"/>
    </row>
    <row r="4" spans="2:10">
      <c r="B4" s="65" t="s">
        <v>49</v>
      </c>
      <c r="C4" s="64"/>
      <c r="E4" s="70"/>
      <c r="F4" s="72" t="s">
        <v>127</v>
      </c>
      <c r="G4" s="72" t="s">
        <v>128</v>
      </c>
      <c r="I4" s="65" t="s">
        <v>49</v>
      </c>
      <c r="J4" s="64"/>
    </row>
    <row r="5" spans="2:10">
      <c r="B5" s="1" t="s">
        <v>1</v>
      </c>
      <c r="C5" s="19">
        <v>100</v>
      </c>
      <c r="E5" s="71"/>
      <c r="F5" s="71"/>
      <c r="G5" s="71"/>
      <c r="I5" s="1" t="s">
        <v>53</v>
      </c>
      <c r="J5" s="34">
        <f>C16</f>
        <v>45000000</v>
      </c>
    </row>
    <row r="6" spans="2:10">
      <c r="B6" s="1" t="s">
        <v>2</v>
      </c>
      <c r="C6" s="49" t="s">
        <v>51</v>
      </c>
      <c r="E6" s="25">
        <v>1</v>
      </c>
      <c r="F6" s="22">
        <f>G6/12</f>
        <v>624750</v>
      </c>
      <c r="G6" s="22">
        <f>C23</f>
        <v>7497000</v>
      </c>
      <c r="I6" s="26" t="s">
        <v>129</v>
      </c>
      <c r="J6" s="28">
        <v>15000000</v>
      </c>
    </row>
    <row r="7" spans="2:10">
      <c r="B7" s="1" t="s">
        <v>4</v>
      </c>
      <c r="C7" s="50">
        <v>1429</v>
      </c>
      <c r="E7" s="25">
        <v>2</v>
      </c>
      <c r="F7" s="22">
        <f t="shared" ref="F6:F26" si="0">G7/12</f>
        <v>662235</v>
      </c>
      <c r="G7" s="22">
        <f t="shared" ref="G7:G26" si="1">G6*(100%+$C$10)</f>
        <v>7946820</v>
      </c>
      <c r="I7" s="23" t="s">
        <v>130</v>
      </c>
      <c r="J7" s="51">
        <f>J6*C12</f>
        <v>15000000</v>
      </c>
    </row>
    <row r="8" spans="2:10">
      <c r="B8" s="25" t="s">
        <v>131</v>
      </c>
      <c r="C8" s="52">
        <v>100000</v>
      </c>
      <c r="E8" s="25">
        <v>3</v>
      </c>
      <c r="F8" s="22">
        <f t="shared" si="0"/>
        <v>701969.10000000009</v>
      </c>
      <c r="G8" s="22">
        <f t="shared" si="1"/>
        <v>8423629.2000000011</v>
      </c>
      <c r="I8" s="25" t="s">
        <v>132</v>
      </c>
      <c r="J8" s="24">
        <f>J5-J6</f>
        <v>30000000</v>
      </c>
    </row>
    <row r="9" spans="2:10">
      <c r="B9" s="25" t="s">
        <v>7</v>
      </c>
      <c r="C9" s="28">
        <v>833</v>
      </c>
      <c r="E9" s="25">
        <v>4</v>
      </c>
      <c r="F9" s="22">
        <f t="shared" si="0"/>
        <v>744087.24600000016</v>
      </c>
      <c r="G9" s="22">
        <f t="shared" si="1"/>
        <v>8929046.9520000014</v>
      </c>
      <c r="I9" s="26" t="s">
        <v>133</v>
      </c>
      <c r="J9" s="19">
        <v>12</v>
      </c>
    </row>
    <row r="10" spans="2:10">
      <c r="B10" s="53" t="s">
        <v>134</v>
      </c>
      <c r="C10" s="54">
        <v>0.06</v>
      </c>
      <c r="E10" s="25">
        <v>5</v>
      </c>
      <c r="F10" s="22">
        <f t="shared" si="0"/>
        <v>788732.48076000018</v>
      </c>
      <c r="G10" s="22">
        <f t="shared" si="1"/>
        <v>9464789.7691200022</v>
      </c>
      <c r="I10" s="26" t="s">
        <v>135</v>
      </c>
      <c r="J10" s="24">
        <f>J8/J9</f>
        <v>2500000</v>
      </c>
    </row>
    <row r="11" spans="2:10">
      <c r="E11" s="25">
        <v>6</v>
      </c>
      <c r="F11" s="22">
        <f t="shared" si="0"/>
        <v>836056.42960560031</v>
      </c>
      <c r="G11" s="22">
        <f t="shared" si="1"/>
        <v>10032677.155267203</v>
      </c>
    </row>
    <row r="12" spans="2:10">
      <c r="B12" s="29" t="s">
        <v>136</v>
      </c>
      <c r="C12" s="19">
        <v>1</v>
      </c>
      <c r="E12" s="25">
        <v>7</v>
      </c>
      <c r="F12" s="22">
        <f t="shared" si="0"/>
        <v>886219.81538193626</v>
      </c>
      <c r="G12" s="22">
        <f t="shared" si="1"/>
        <v>10634637.784583235</v>
      </c>
      <c r="I12" s="65" t="s">
        <v>137</v>
      </c>
      <c r="J12" s="64"/>
    </row>
    <row r="13" spans="2:10">
      <c r="B13" s="21" t="s">
        <v>52</v>
      </c>
      <c r="C13" s="17">
        <v>0</v>
      </c>
      <c r="E13" s="25">
        <v>8</v>
      </c>
      <c r="F13" s="22">
        <f t="shared" si="0"/>
        <v>939393.00430485245</v>
      </c>
      <c r="G13" s="22">
        <f t="shared" si="1"/>
        <v>11272716.05165823</v>
      </c>
      <c r="I13" s="25" t="s">
        <v>129</v>
      </c>
      <c r="J13" s="34">
        <f>J6</f>
        <v>15000000</v>
      </c>
    </row>
    <row r="14" spans="2:10">
      <c r="B14" s="1" t="s">
        <v>53</v>
      </c>
      <c r="C14" s="22">
        <v>45000000</v>
      </c>
      <c r="E14" s="25">
        <v>9</v>
      </c>
      <c r="F14" s="22">
        <f t="shared" si="0"/>
        <v>995756.58456314367</v>
      </c>
      <c r="G14" s="22">
        <f t="shared" si="1"/>
        <v>11949079.014757724</v>
      </c>
      <c r="I14" s="26" t="s">
        <v>138</v>
      </c>
      <c r="J14" s="48">
        <f>J10</f>
        <v>2500000</v>
      </c>
    </row>
    <row r="15" spans="2:10">
      <c r="B15" s="23" t="s">
        <v>54</v>
      </c>
      <c r="C15" s="24">
        <f>C14-(C14*C13)</f>
        <v>45000000</v>
      </c>
      <c r="E15" s="25">
        <v>10</v>
      </c>
      <c r="F15" s="22">
        <f t="shared" si="0"/>
        <v>1055501.9796369325</v>
      </c>
      <c r="G15" s="22">
        <f t="shared" si="1"/>
        <v>12666023.755643189</v>
      </c>
      <c r="I15" s="26" t="s">
        <v>139</v>
      </c>
      <c r="J15" s="48">
        <f>J10</f>
        <v>2500000</v>
      </c>
    </row>
    <row r="16" spans="2:10">
      <c r="B16" s="23" t="s">
        <v>56</v>
      </c>
      <c r="C16" s="24">
        <f>C12*C15</f>
        <v>45000000</v>
      </c>
      <c r="E16" s="25">
        <v>11</v>
      </c>
      <c r="F16" s="22">
        <f t="shared" si="0"/>
        <v>1118832.0984151484</v>
      </c>
      <c r="G16" s="22">
        <f t="shared" si="1"/>
        <v>13425985.180981781</v>
      </c>
      <c r="I16" s="26" t="s">
        <v>140</v>
      </c>
      <c r="J16" s="48">
        <f>J10</f>
        <v>2500000</v>
      </c>
    </row>
    <row r="17" spans="2:10">
      <c r="B17" s="26" t="s">
        <v>57</v>
      </c>
      <c r="C17" s="24">
        <f>(C14*C12)-C16</f>
        <v>0</v>
      </c>
      <c r="E17" s="25">
        <v>12</v>
      </c>
      <c r="F17" s="22">
        <f t="shared" si="0"/>
        <v>1185962.0243200574</v>
      </c>
      <c r="G17" s="22">
        <f t="shared" si="1"/>
        <v>14231544.291840689</v>
      </c>
      <c r="I17" s="26" t="s">
        <v>141</v>
      </c>
      <c r="J17" s="48">
        <f>J10</f>
        <v>2500000</v>
      </c>
    </row>
    <row r="18" spans="2:10">
      <c r="E18" s="25">
        <v>13</v>
      </c>
      <c r="F18" s="22">
        <f t="shared" si="0"/>
        <v>1257119.745779261</v>
      </c>
      <c r="G18" s="22">
        <f t="shared" si="1"/>
        <v>15085436.949351132</v>
      </c>
      <c r="I18" s="26" t="s">
        <v>142</v>
      </c>
      <c r="J18" s="48">
        <f>J10</f>
        <v>2500000</v>
      </c>
    </row>
    <row r="19" spans="2:10">
      <c r="B19" s="21" t="s">
        <v>59</v>
      </c>
      <c r="C19" s="27">
        <f>C20*12</f>
        <v>0.1666</v>
      </c>
      <c r="E19" s="25">
        <v>14</v>
      </c>
      <c r="F19" s="22">
        <f t="shared" si="0"/>
        <v>1332546.9305260167</v>
      </c>
      <c r="G19" s="22">
        <f t="shared" si="1"/>
        <v>15990563.166312201</v>
      </c>
      <c r="I19" s="26" t="s">
        <v>143</v>
      </c>
      <c r="J19" s="48">
        <f>J10</f>
        <v>2500000</v>
      </c>
    </row>
    <row r="20" spans="2:10">
      <c r="B20" s="21" t="s">
        <v>60</v>
      </c>
      <c r="C20" s="27">
        <f>C22/C15</f>
        <v>1.3883333333333333E-2</v>
      </c>
      <c r="E20" s="25">
        <v>15</v>
      </c>
      <c r="F20" s="22">
        <f t="shared" si="0"/>
        <v>1412499.7463575779</v>
      </c>
      <c r="G20" s="22">
        <f t="shared" si="1"/>
        <v>16949996.956290934</v>
      </c>
      <c r="I20" s="26" t="s">
        <v>144</v>
      </c>
      <c r="J20" s="48">
        <f>J10</f>
        <v>2500000</v>
      </c>
    </row>
    <row r="21" spans="2:10">
      <c r="B21" s="26" t="s">
        <v>61</v>
      </c>
      <c r="C21" s="24">
        <f>C22*12</f>
        <v>7497000</v>
      </c>
      <c r="E21" s="25">
        <v>16</v>
      </c>
      <c r="F21" s="22">
        <f t="shared" si="0"/>
        <v>1497249.7311390324</v>
      </c>
      <c r="G21" s="22">
        <f t="shared" si="1"/>
        <v>17966996.77366839</v>
      </c>
      <c r="I21" s="26" t="s">
        <v>145</v>
      </c>
      <c r="J21" s="48">
        <f>J10</f>
        <v>2500000</v>
      </c>
    </row>
    <row r="22" spans="2:10">
      <c r="B22" s="29" t="s">
        <v>146</v>
      </c>
      <c r="C22" s="34">
        <f>(C8*C9)*0.75%</f>
        <v>624750</v>
      </c>
      <c r="E22" s="25">
        <v>17</v>
      </c>
      <c r="F22" s="22">
        <f t="shared" si="0"/>
        <v>1587084.7150073743</v>
      </c>
      <c r="G22" s="22">
        <f t="shared" si="1"/>
        <v>19045016.580088492</v>
      </c>
      <c r="I22" s="26" t="s">
        <v>147</v>
      </c>
      <c r="J22" s="48">
        <f>J10</f>
        <v>2500000</v>
      </c>
    </row>
    <row r="23" spans="2:10">
      <c r="B23" s="26" t="s">
        <v>63</v>
      </c>
      <c r="C23" s="24">
        <f>C21*C12</f>
        <v>7497000</v>
      </c>
      <c r="E23" s="25">
        <v>18</v>
      </c>
      <c r="F23" s="22">
        <f t="shared" si="0"/>
        <v>1682309.7979078169</v>
      </c>
      <c r="G23" s="22">
        <f t="shared" si="1"/>
        <v>20187717.574893802</v>
      </c>
      <c r="I23" s="26" t="s">
        <v>148</v>
      </c>
      <c r="J23" s="48">
        <f>J10</f>
        <v>2500000</v>
      </c>
    </row>
    <row r="24" spans="2:10">
      <c r="B24" s="29" t="s">
        <v>149</v>
      </c>
      <c r="C24" s="24">
        <f>C22*C12</f>
        <v>624750</v>
      </c>
      <c r="E24" s="25">
        <v>19</v>
      </c>
      <c r="F24" s="22">
        <f t="shared" si="0"/>
        <v>1783248.3857822858</v>
      </c>
      <c r="G24" s="22">
        <f t="shared" si="1"/>
        <v>21398980.629387431</v>
      </c>
      <c r="I24" s="26" t="s">
        <v>150</v>
      </c>
      <c r="J24" s="48">
        <f>J10</f>
        <v>2500000</v>
      </c>
    </row>
    <row r="25" spans="2:10">
      <c r="B25" s="72" t="s">
        <v>151</v>
      </c>
      <c r="C25" s="73">
        <f>G27</f>
        <v>299825471.88817477</v>
      </c>
      <c r="E25" s="25">
        <v>20</v>
      </c>
      <c r="F25" s="22">
        <f t="shared" si="0"/>
        <v>1890243.2889292231</v>
      </c>
      <c r="G25" s="22">
        <f t="shared" si="1"/>
        <v>22682919.467150677</v>
      </c>
      <c r="I25" s="26" t="s">
        <v>152</v>
      </c>
      <c r="J25" s="48">
        <f>J10</f>
        <v>2500000</v>
      </c>
    </row>
    <row r="26" spans="2:10">
      <c r="B26" s="71"/>
      <c r="C26" s="71"/>
      <c r="E26" s="25">
        <v>21</v>
      </c>
      <c r="F26" s="22">
        <f t="shared" si="0"/>
        <v>2003657.8862649763</v>
      </c>
      <c r="G26" s="22">
        <f t="shared" si="1"/>
        <v>24043894.635179717</v>
      </c>
      <c r="I26" s="74" t="s">
        <v>153</v>
      </c>
      <c r="J26" s="75">
        <f>SUM(J13:J25)</f>
        <v>45000000</v>
      </c>
    </row>
    <row r="27" spans="2:10">
      <c r="E27" s="76" t="s">
        <v>154</v>
      </c>
      <c r="F27" s="64"/>
      <c r="G27" s="55">
        <f>SUM(G6:G26)</f>
        <v>299825471.88817477</v>
      </c>
      <c r="I27" s="71"/>
      <c r="J27" s="71"/>
    </row>
    <row r="28" spans="2:10">
      <c r="E28" s="69" t="s">
        <v>155</v>
      </c>
      <c r="F28" s="64"/>
      <c r="G28" s="56">
        <f>G27/C16</f>
        <v>6.6627882641816614</v>
      </c>
    </row>
  </sheetData>
  <mergeCells count="13">
    <mergeCell ref="E28:F28"/>
    <mergeCell ref="B2:J2"/>
    <mergeCell ref="B4:C4"/>
    <mergeCell ref="E4:E5"/>
    <mergeCell ref="F4:F5"/>
    <mergeCell ref="G4:G5"/>
    <mergeCell ref="I4:J4"/>
    <mergeCell ref="I12:J12"/>
    <mergeCell ref="B25:B26"/>
    <mergeCell ref="C25:C26"/>
    <mergeCell ref="I26:I27"/>
    <mergeCell ref="J26:J27"/>
    <mergeCell ref="E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GOOD ENERGY - TASA FIJA</vt:lpstr>
      <vt:lpstr>GOOD ENERGY - 100 &lt; FARMERS</vt:lpstr>
      <vt:lpstr>GOOD ENERGY - SOLO GRANJA</vt:lpstr>
      <vt:lpstr>GOOD ENERGY - ELECTROLINERA</vt:lpstr>
      <vt:lpstr>GOOD ENERGY - EQUIPO COMERCIAL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 Pena, Wilson Yamit</dc:creator>
  <cp:lastModifiedBy>Diego Castellanos</cp:lastModifiedBy>
  <dcterms:created xsi:type="dcterms:W3CDTF">2020-04-15T03:58:09Z</dcterms:created>
  <dcterms:modified xsi:type="dcterms:W3CDTF">2026-03-18T20:47:28Z</dcterms:modified>
</cp:coreProperties>
</file>